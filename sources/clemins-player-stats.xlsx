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3DA by Week" sheetId="2" state="visible" r:id="rId2"/>
    <sheet name="PPD by Week" sheetId="3" state="visible" r:id="rId3"/>
    <sheet name="% Change" sheetId="4" state="visible" r:id="rId4"/>
    <sheet name="Trends" sheetId="5" state="visible" r:id="rId5"/>
    <sheet name="MPR by Week" sheetId="6" state="visible" r:id="rId6"/>
    <sheet name="DO% by Wee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/yyyy"/>
    <numFmt numFmtId="166" formatCode="0.0%"/>
    <numFmt numFmtId="167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2" fontId="2" fillId="3" borderId="0" pivotButton="0" quotePrefix="0" xfId="0"/>
    <xf numFmtId="167" fontId="0" fillId="0" borderId="0" pivotButton="0" quotePrefix="0" xfId="0"/>
    <xf numFmtId="167" fontId="2" fillId="3" borderId="0" pivotButton="0" quotePrefix="0" xfId="0"/>
    <xf numFmtId="0" fontId="3" fillId="0" borderId="0" pivotButton="0" quotePrefix="0" xfId="0"/>
    <xf numFmtId="2" fontId="0" fillId="3" borderId="0" pivotButton="0" quotePrefix="0" xfId="0"/>
    <xf numFmtId="166" fontId="0" fillId="3" borderId="0" pivotButton="0" quotePrefix="0" xfId="0"/>
    <xf numFmtId="166" fontId="2" fillId="3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</dxf>
    <dxf>
      <font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4" customWidth="1" min="4" max="4"/>
    <col width="10" customWidth="1" min="5" max="5"/>
    <col width="9" customWidth="1" min="6" max="6"/>
    <col width="8" customWidth="1" min="7" max="7"/>
    <col width="8" customWidth="1" min="8" max="8"/>
    <col width="9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Week #</t>
        </is>
      </c>
      <c r="B1" s="1" t="inlineStr">
        <is>
          <t>Date</t>
        </is>
      </c>
      <c r="C1" s="1" t="inlineStr">
        <is>
          <t>Opponent</t>
        </is>
      </c>
      <c r="D1" s="1" t="inlineStr">
        <is>
          <t>Player</t>
        </is>
      </c>
      <c r="E1" s="1" t="inlineStr">
        <is>
          <t>01 Points</t>
        </is>
      </c>
      <c r="F1" s="1" t="inlineStr">
        <is>
          <t>01 Darts</t>
        </is>
      </c>
      <c r="G1" s="1" t="inlineStr">
        <is>
          <t>3DA</t>
        </is>
      </c>
      <c r="H1" s="1" t="inlineStr">
        <is>
          <t>PPD</t>
        </is>
      </c>
      <c r="I1" s="1" t="inlineStr">
        <is>
          <t>Cricket Marks</t>
        </is>
      </c>
      <c r="J1" s="1" t="inlineStr">
        <is>
          <t>Cricket Darts</t>
        </is>
      </c>
      <c r="K1" s="1" t="inlineStr">
        <is>
          <t>MPR</t>
        </is>
      </c>
      <c r="L1" s="1" t="inlineStr">
        <is>
          <t>DO Hits</t>
        </is>
      </c>
      <c r="M1" s="1" t="inlineStr">
        <is>
          <t>DO Opps</t>
        </is>
      </c>
      <c r="N1" s="1" t="inlineStr">
        <is>
          <t>DO%</t>
        </is>
      </c>
      <c r="O1" s="1" t="inlineStr">
        <is>
          <t>Games W</t>
        </is>
      </c>
      <c r="P1" s="1" t="inlineStr">
        <is>
          <t>Games L</t>
        </is>
      </c>
    </row>
    <row r="2">
      <c r="A2" t="n">
        <v>1</v>
      </c>
      <c r="B2" s="2" t="n">
        <v>46282</v>
      </c>
      <c r="C2" t="inlineStr">
        <is>
          <t>4-Curran's Irish Inn (Dina)</t>
        </is>
      </c>
      <c r="D2" t="inlineStr">
        <is>
          <t>Mike Broderick</t>
        </is>
      </c>
      <c r="E2" t="n">
        <v>668</v>
      </c>
      <c r="F2" t="n">
        <v>38</v>
      </c>
      <c r="G2" s="3">
        <f>IF(N(F2)&gt;0,E2/F2*3,"")</f>
        <v/>
      </c>
      <c r="H2" s="3">
        <f>IF(N(F2)&gt;0,E2/F2,"")</f>
        <v/>
      </c>
      <c r="I2" t="n">
        <v>6</v>
      </c>
      <c r="J2" t="n">
        <v>21</v>
      </c>
      <c r="K2" s="3">
        <f>IF(N(J2)&gt;0,I2/J2*3,"")</f>
        <v/>
      </c>
      <c r="L2" t="n">
        <v>1</v>
      </c>
      <c r="M2" t="n">
        <v>4</v>
      </c>
      <c r="N2" s="4">
        <f>IF(N(M2)&gt;0,L2/M2,"")</f>
        <v/>
      </c>
      <c r="O2" t="n">
        <v>2</v>
      </c>
      <c r="P2" t="n">
        <v>2</v>
      </c>
    </row>
    <row r="3">
      <c r="A3" t="n">
        <v>1</v>
      </c>
      <c r="B3" s="2" t="n">
        <v>46282</v>
      </c>
      <c r="C3" t="inlineStr">
        <is>
          <t>4-Curran's Irish Inn (Dina)</t>
        </is>
      </c>
      <c r="D3" t="inlineStr">
        <is>
          <t>Jeff Broderick</t>
        </is>
      </c>
      <c r="E3" t="n">
        <v>1269</v>
      </c>
      <c r="F3" t="n">
        <v>82</v>
      </c>
      <c r="G3" s="3">
        <f>IF(N(F3)&gt;0,E3/F3*3,"")</f>
        <v/>
      </c>
      <c r="H3" s="3">
        <f>IF(N(F3)&gt;0,E3/F3,"")</f>
        <v/>
      </c>
      <c r="I3" t="n">
        <v>14</v>
      </c>
      <c r="J3" t="n">
        <v>17</v>
      </c>
      <c r="K3" s="3">
        <f>IF(N(J3)&gt;0,I3/J3*3,"")</f>
        <v/>
      </c>
      <c r="L3" t="n">
        <v>2</v>
      </c>
      <c r="M3" t="n">
        <v>6</v>
      </c>
      <c r="N3" s="4">
        <f>IF(N(M3)&gt;0,L3/M3,"")</f>
        <v/>
      </c>
      <c r="O3" t="n">
        <v>5</v>
      </c>
      <c r="P3" t="n">
        <v>2</v>
      </c>
    </row>
    <row r="4">
      <c r="A4" t="n">
        <v>1</v>
      </c>
      <c r="B4" s="2" t="n">
        <v>46282</v>
      </c>
      <c r="C4" t="inlineStr">
        <is>
          <t>4-Curran's Irish Inn (Dina)</t>
        </is>
      </c>
      <c r="D4" t="inlineStr">
        <is>
          <t>Captain (Vince Clemins)</t>
        </is>
      </c>
      <c r="E4" t="n">
        <v>1193</v>
      </c>
      <c r="F4" t="n">
        <v>86</v>
      </c>
      <c r="G4" s="3">
        <f>IF(N(F4)&gt;0,E4/F4*3,"")</f>
        <v/>
      </c>
      <c r="H4" s="3">
        <f>IF(N(F4)&gt;0,E4/F4,"")</f>
        <v/>
      </c>
      <c r="I4" t="n">
        <v>17</v>
      </c>
      <c r="J4" t="n">
        <v>18</v>
      </c>
      <c r="K4" s="3">
        <f>IF(N(J4)&gt;0,I4/J4*3,"")</f>
        <v/>
      </c>
      <c r="L4" t="n">
        <v>1</v>
      </c>
      <c r="M4" t="n">
        <v>9</v>
      </c>
      <c r="N4" s="4">
        <f>IF(N(M4)&gt;0,L4/M4,"")</f>
        <v/>
      </c>
      <c r="O4" t="n">
        <v>4</v>
      </c>
      <c r="P4" t="n">
        <v>3</v>
      </c>
    </row>
    <row r="5">
      <c r="A5" t="n">
        <v>1</v>
      </c>
      <c r="B5" s="2" t="n">
        <v>46282</v>
      </c>
      <c r="C5" t="inlineStr">
        <is>
          <t>4-Curran's Irish Inn (Dina)</t>
        </is>
      </c>
      <c r="D5" t="inlineStr">
        <is>
          <t>Al Fromenko</t>
        </is>
      </c>
      <c r="E5" t="n">
        <v>1233</v>
      </c>
      <c r="F5" t="n">
        <v>87</v>
      </c>
      <c r="G5" s="3">
        <f>IF(N(F5)&gt;0,E5/F5*3,"")</f>
        <v/>
      </c>
      <c r="H5" s="3">
        <f>IF(N(F5)&gt;0,E5/F5,"")</f>
        <v/>
      </c>
      <c r="I5" t="n">
        <v>16</v>
      </c>
      <c r="J5" t="n">
        <v>20</v>
      </c>
      <c r="K5" s="3">
        <f>IF(N(J5)&gt;0,I5/J5*3,"")</f>
        <v/>
      </c>
      <c r="L5" t="n">
        <v>1</v>
      </c>
      <c r="M5" t="n">
        <v>9</v>
      </c>
      <c r="N5" s="4">
        <f>IF(N(M5)&gt;0,L5/M5,"")</f>
        <v/>
      </c>
      <c r="O5" t="n">
        <v>5</v>
      </c>
      <c r="P5" t="n">
        <v>2</v>
      </c>
    </row>
    <row r="6">
      <c r="A6" t="n">
        <v>1</v>
      </c>
      <c r="B6" s="2" t="n">
        <v>46282</v>
      </c>
      <c r="C6" t="inlineStr">
        <is>
          <t>4-Curran's Irish Inn (Dina)</t>
        </is>
      </c>
      <c r="D6" t="inlineStr">
        <is>
          <t>Bill Prelle</t>
        </is>
      </c>
      <c r="E6" t="n">
        <v>488</v>
      </c>
      <c r="F6" t="n">
        <v>39</v>
      </c>
      <c r="G6" s="3">
        <f>IF(N(F6)&gt;0,E6/F6*3,"")</f>
        <v/>
      </c>
      <c r="H6" s="3">
        <f>IF(N(F6)&gt;0,E6/F6,"")</f>
        <v/>
      </c>
      <c r="K6" s="3">
        <f>IF(N(J6)&gt;0,I6/J6*3,"")</f>
        <v/>
      </c>
      <c r="L6" t="n">
        <v>0</v>
      </c>
      <c r="M6" t="n">
        <v>4</v>
      </c>
      <c r="N6" s="4">
        <f>IF(N(M6)&gt;0,L6/M6,"")</f>
        <v/>
      </c>
      <c r="O6" t="n">
        <v>1</v>
      </c>
      <c r="P6" t="n">
        <v>2</v>
      </c>
    </row>
    <row r="7">
      <c r="A7" t="n">
        <v>1</v>
      </c>
      <c r="B7" s="2" t="n">
        <v>46282</v>
      </c>
      <c r="C7" t="inlineStr">
        <is>
          <t>4-Curran's Irish Inn (Dina)</t>
        </is>
      </c>
      <c r="D7" t="inlineStr">
        <is>
          <t>Keith McCarthy</t>
        </is>
      </c>
      <c r="E7" t="n">
        <v>247</v>
      </c>
      <c r="F7" t="n">
        <v>23</v>
      </c>
      <c r="G7" s="3">
        <f>IF(N(F7)&gt;0,E7/F7*3,"")</f>
        <v/>
      </c>
      <c r="H7" s="3">
        <f>IF(N(F7)&gt;0,E7/F7,"")</f>
        <v/>
      </c>
      <c r="K7" s="3">
        <f>IF(N(J7)&gt;0,I7/J7*3,"")</f>
        <v/>
      </c>
      <c r="L7" t="n">
        <v>1</v>
      </c>
      <c r="M7" t="n">
        <v>3</v>
      </c>
      <c r="N7" s="4">
        <f>IF(N(M7)&gt;0,L7/M7,"")</f>
        <v/>
      </c>
      <c r="O7" t="n">
        <v>2</v>
      </c>
      <c r="P7" t="n">
        <v>0</v>
      </c>
    </row>
    <row r="8">
      <c r="A8" t="n">
        <v>1</v>
      </c>
      <c r="B8" s="2" t="n">
        <v>46282</v>
      </c>
      <c r="C8" t="inlineStr">
        <is>
          <t>4-Curran's Irish Inn (Dina)</t>
        </is>
      </c>
      <c r="D8" t="inlineStr">
        <is>
          <t>Tom Davis</t>
        </is>
      </c>
      <c r="E8" t="n">
        <v>609</v>
      </c>
      <c r="F8" t="n">
        <v>47</v>
      </c>
      <c r="G8" s="3">
        <f>IF(N(F8)&gt;0,E8/F8*3,"")</f>
        <v/>
      </c>
      <c r="H8" s="3">
        <f>IF(N(F8)&gt;0,E8/F8,"")</f>
        <v/>
      </c>
      <c r="I8" t="n">
        <v>12</v>
      </c>
      <c r="J8" t="n">
        <v>18</v>
      </c>
      <c r="K8" s="3">
        <f>IF(N(J8)&gt;0,I8/J8*3,"")</f>
        <v/>
      </c>
      <c r="L8" t="n">
        <v>1</v>
      </c>
      <c r="M8" t="n">
        <v>6</v>
      </c>
      <c r="N8" s="4">
        <f>IF(N(M8)&gt;0,L8/M8,"")</f>
        <v/>
      </c>
      <c r="O8" t="n">
        <v>2</v>
      </c>
      <c r="P8" t="n">
        <v>3</v>
      </c>
    </row>
    <row r="9">
      <c r="A9" t="n">
        <v>1</v>
      </c>
      <c r="B9" s="2" t="n">
        <v>46282</v>
      </c>
      <c r="C9" t="inlineStr">
        <is>
          <t>4-Curran's Irish Inn (Dina)</t>
        </is>
      </c>
      <c r="D9" t="inlineStr">
        <is>
          <t>John Klemick</t>
        </is>
      </c>
      <c r="E9" t="n">
        <v>1263</v>
      </c>
      <c r="F9" t="n">
        <v>75</v>
      </c>
      <c r="G9" s="3">
        <f>IF(N(F9)&gt;0,E9/F9*3,"")</f>
        <v/>
      </c>
      <c r="H9" s="3">
        <f>IF(N(F9)&gt;0,E9/F9,"")</f>
        <v/>
      </c>
      <c r="I9" t="n">
        <v>11</v>
      </c>
      <c r="J9" t="n">
        <v>15</v>
      </c>
      <c r="K9" s="3">
        <f>IF(N(J9)&gt;0,I9/J9*3,"")</f>
        <v/>
      </c>
      <c r="L9" t="n">
        <v>0</v>
      </c>
      <c r="M9" t="n">
        <v>7</v>
      </c>
      <c r="N9" s="4">
        <f>IF(N(M9)&gt;0,L9/M9,"")</f>
        <v/>
      </c>
      <c r="O9" t="n">
        <v>4</v>
      </c>
      <c r="P9" t="n">
        <v>3</v>
      </c>
    </row>
    <row r="10">
      <c r="A10" t="n">
        <v>1</v>
      </c>
      <c r="B10" s="2" t="n">
        <v>46282</v>
      </c>
      <c r="C10" t="inlineStr">
        <is>
          <t>4-Curran's Irish Inn (Dina)</t>
        </is>
      </c>
      <c r="D10" t="inlineStr">
        <is>
          <t>Frank Gillespie</t>
        </is>
      </c>
      <c r="G10" s="3">
        <f>IF(N(F10)&gt;0,E10/F10*3,"")</f>
        <v/>
      </c>
      <c r="H10" s="3">
        <f>IF(N(F10)&gt;0,E10/F10,"")</f>
        <v/>
      </c>
      <c r="K10" s="3">
        <f>IF(N(J10)&gt;0,I10/J10*3,"")</f>
        <v/>
      </c>
      <c r="N10" s="4">
        <f>IF(N(M10)&gt;0,L10/M10,"")</f>
        <v/>
      </c>
    </row>
    <row r="11">
      <c r="A11" t="n">
        <v>1</v>
      </c>
      <c r="B11" s="2" t="n">
        <v>46282</v>
      </c>
      <c r="C11" t="inlineStr">
        <is>
          <t>4-Curran's Irish Inn (Dina)</t>
        </is>
      </c>
      <c r="D11" t="inlineStr">
        <is>
          <t>Jim Wright</t>
        </is>
      </c>
      <c r="G11" s="3">
        <f>IF(N(F11)&gt;0,E11/F11*3,"")</f>
        <v/>
      </c>
      <c r="H11" s="3">
        <f>IF(N(F11)&gt;0,E11/F11,"")</f>
        <v/>
      </c>
      <c r="K11" s="3">
        <f>IF(N(J11)&gt;0,I11/J11*3,"")</f>
        <v/>
      </c>
      <c r="N11" s="4">
        <f>IF(N(M11)&gt;0,L11/M11,"")</f>
        <v/>
      </c>
    </row>
    <row r="12">
      <c r="A12" t="n">
        <v>1</v>
      </c>
      <c r="B12" s="2" t="n">
        <v>46282</v>
      </c>
      <c r="C12" t="inlineStr">
        <is>
          <t>4-Curran's Irish Inn (Dina)</t>
        </is>
      </c>
      <c r="D12" t="inlineStr">
        <is>
          <t>Dave Keppler</t>
        </is>
      </c>
      <c r="G12" s="3">
        <f>IF(N(F12)&gt;0,E12/F12*3,"")</f>
        <v/>
      </c>
      <c r="H12" s="3">
        <f>IF(N(F12)&gt;0,E12/F12,"")</f>
        <v/>
      </c>
      <c r="K12" s="3">
        <f>IF(N(J12)&gt;0,I12/J12*3,"")</f>
        <v/>
      </c>
      <c r="N12" s="4">
        <f>IF(N(M12)&gt;0,L12/M12,"")</f>
        <v/>
      </c>
    </row>
    <row r="13">
      <c r="A13" t="n">
        <v>2</v>
      </c>
      <c r="B13" s="2" t="n">
        <v>46289</v>
      </c>
      <c r="C13" t="inlineStr">
        <is>
          <t>2-Polonia (Baisch)</t>
        </is>
      </c>
      <c r="D13" t="inlineStr">
        <is>
          <t>Mike Broderick</t>
        </is>
      </c>
      <c r="E13" t="n">
        <v>686</v>
      </c>
      <c r="F13" t="n">
        <v>45</v>
      </c>
      <c r="G13" s="3">
        <f>IF(N(F13)&gt;0,E13/F13*3,"")</f>
        <v/>
      </c>
      <c r="H13" s="3">
        <f>IF(N(F13)&gt;0,E13/F13,"")</f>
        <v/>
      </c>
      <c r="I13" t="n">
        <v>10</v>
      </c>
      <c r="J13" t="n">
        <v>18</v>
      </c>
      <c r="K13" s="3">
        <f>IF(N(J13)&gt;0,I13/J13*3,"")</f>
        <v/>
      </c>
      <c r="L13" t="n">
        <v>0</v>
      </c>
      <c r="M13" t="n">
        <v>5</v>
      </c>
      <c r="N13" s="4">
        <f>IF(N(M13)&gt;0,L13/M13,"")</f>
        <v/>
      </c>
      <c r="O13" t="n">
        <v>3</v>
      </c>
      <c r="P13" t="n">
        <v>1</v>
      </c>
    </row>
    <row r="14">
      <c r="A14" t="n">
        <v>2</v>
      </c>
      <c r="B14" s="2" t="n">
        <v>46289</v>
      </c>
      <c r="C14" t="inlineStr">
        <is>
          <t>2-Polonia (Baisch)</t>
        </is>
      </c>
      <c r="D14" t="inlineStr">
        <is>
          <t>Jeff Broderick</t>
        </is>
      </c>
      <c r="E14" t="n">
        <v>1103</v>
      </c>
      <c r="F14" t="n">
        <v>70</v>
      </c>
      <c r="G14" s="3">
        <f>IF(N(F14)&gt;0,E14/F14*3,"")</f>
        <v/>
      </c>
      <c r="H14" s="3">
        <f>IF(N(F14)&gt;0,E14/F14,"")</f>
        <v/>
      </c>
      <c r="I14" t="n">
        <v>14</v>
      </c>
      <c r="J14" t="n">
        <v>27</v>
      </c>
      <c r="K14" s="3">
        <f>IF(N(J14)&gt;0,I14/J14*3,"")</f>
        <v/>
      </c>
      <c r="L14" t="n">
        <v>1</v>
      </c>
      <c r="M14" t="n">
        <v>9</v>
      </c>
      <c r="N14" s="4">
        <f>IF(N(M14)&gt;0,L14/M14,"")</f>
        <v/>
      </c>
      <c r="O14" t="n">
        <v>3</v>
      </c>
      <c r="P14" t="n">
        <v>3</v>
      </c>
    </row>
    <row r="15">
      <c r="A15" t="n">
        <v>2</v>
      </c>
      <c r="B15" s="2" t="n">
        <v>46289</v>
      </c>
      <c r="C15" t="inlineStr">
        <is>
          <t>2-Polonia (Baisch)</t>
        </is>
      </c>
      <c r="D15" t="inlineStr">
        <is>
          <t>Captain (Vince Clemins)</t>
        </is>
      </c>
      <c r="E15" t="n">
        <v>1027</v>
      </c>
      <c r="F15" t="n">
        <v>84</v>
      </c>
      <c r="G15" s="3">
        <f>IF(N(F15)&gt;0,E15/F15*3,"")</f>
        <v/>
      </c>
      <c r="H15" s="3">
        <f>IF(N(F15)&gt;0,E15/F15,"")</f>
        <v/>
      </c>
      <c r="I15" t="n">
        <v>13</v>
      </c>
      <c r="J15" t="n">
        <v>27</v>
      </c>
      <c r="K15" s="3">
        <f>IF(N(J15)&gt;0,I15/J15*3,"")</f>
        <v/>
      </c>
      <c r="L15" t="n">
        <v>1</v>
      </c>
      <c r="M15" t="n">
        <v>13</v>
      </c>
      <c r="N15" s="4">
        <f>IF(N(M15)&gt;0,L15/M15,"")</f>
        <v/>
      </c>
      <c r="O15" t="n">
        <v>3</v>
      </c>
      <c r="P15" t="n">
        <v>3</v>
      </c>
    </row>
    <row r="16">
      <c r="A16" t="n">
        <v>2</v>
      </c>
      <c r="B16" s="2" t="n">
        <v>46289</v>
      </c>
      <c r="C16" t="inlineStr">
        <is>
          <t>2-Polonia (Baisch)</t>
        </is>
      </c>
      <c r="D16" t="inlineStr">
        <is>
          <t>Al Fromenko</t>
        </is>
      </c>
      <c r="E16" t="n">
        <v>1086</v>
      </c>
      <c r="F16" t="n">
        <v>83</v>
      </c>
      <c r="G16" s="3">
        <f>IF(N(F16)&gt;0,E16/F16*3,"")</f>
        <v/>
      </c>
      <c r="H16" s="3">
        <f>IF(N(F16)&gt;0,E16/F16,"")</f>
        <v/>
      </c>
      <c r="I16" t="n">
        <v>18</v>
      </c>
      <c r="J16" t="n">
        <v>19</v>
      </c>
      <c r="K16" s="3">
        <f>IF(N(J16)&gt;0,I16/J16*3,"")</f>
        <v/>
      </c>
      <c r="L16" t="n">
        <v>1</v>
      </c>
      <c r="M16" t="n">
        <v>10</v>
      </c>
      <c r="N16" s="4">
        <f>IF(N(M16)&gt;0,L16/M16,"")</f>
        <v/>
      </c>
      <c r="O16" t="n">
        <v>5</v>
      </c>
      <c r="P16" t="n">
        <v>2</v>
      </c>
    </row>
    <row r="17">
      <c r="A17" t="n">
        <v>2</v>
      </c>
      <c r="B17" s="2" t="n">
        <v>46289</v>
      </c>
      <c r="C17" t="inlineStr">
        <is>
          <t>2-Polonia (Baisch)</t>
        </is>
      </c>
      <c r="D17" t="inlineStr">
        <is>
          <t>Bill Prelle</t>
        </is>
      </c>
      <c r="E17" t="n">
        <v>399</v>
      </c>
      <c r="F17" t="n">
        <v>34</v>
      </c>
      <c r="G17" s="3">
        <f>IF(N(F17)&gt;0,E17/F17*3,"")</f>
        <v/>
      </c>
      <c r="H17" s="3">
        <f>IF(N(F17)&gt;0,E17/F17,"")</f>
        <v/>
      </c>
      <c r="K17" s="3">
        <f>IF(N(J17)&gt;0,I17/J17*3,"")</f>
        <v/>
      </c>
      <c r="L17" t="n">
        <v>2</v>
      </c>
      <c r="M17" t="n">
        <v>6</v>
      </c>
      <c r="N17" s="4">
        <f>IF(N(M17)&gt;0,L17/M17,"")</f>
        <v/>
      </c>
      <c r="O17" t="n">
        <v>2</v>
      </c>
      <c r="P17" t="n">
        <v>0</v>
      </c>
    </row>
    <row r="18">
      <c r="A18" t="n">
        <v>2</v>
      </c>
      <c r="B18" s="2" t="n">
        <v>46289</v>
      </c>
      <c r="C18" t="inlineStr">
        <is>
          <t>2-Polonia (Baisch)</t>
        </is>
      </c>
      <c r="D18" t="inlineStr">
        <is>
          <t>Keith McCarthy</t>
        </is>
      </c>
      <c r="E18" t="n">
        <v>93</v>
      </c>
      <c r="F18" t="n">
        <v>9</v>
      </c>
      <c r="G18" s="3">
        <f>IF(N(F18)&gt;0,E18/F18*3,"")</f>
        <v/>
      </c>
      <c r="H18" s="3">
        <f>IF(N(F18)&gt;0,E18/F18,"")</f>
        <v/>
      </c>
      <c r="K18" s="3">
        <f>IF(N(J18)&gt;0,I18/J18*3,"")</f>
        <v/>
      </c>
      <c r="N18" s="4">
        <f>IF(N(M18)&gt;0,L18/M18,"")</f>
        <v/>
      </c>
      <c r="O18" t="n">
        <v>0</v>
      </c>
      <c r="P18" t="n">
        <v>1</v>
      </c>
    </row>
    <row r="19">
      <c r="A19" t="n">
        <v>2</v>
      </c>
      <c r="B19" s="2" t="n">
        <v>46289</v>
      </c>
      <c r="C19" t="inlineStr">
        <is>
          <t>2-Polonia (Baisch)</t>
        </is>
      </c>
      <c r="D19" t="inlineStr">
        <is>
          <t>Tom Davis</t>
        </is>
      </c>
      <c r="E19" t="n">
        <v>343</v>
      </c>
      <c r="F19" t="n">
        <v>33</v>
      </c>
      <c r="G19" s="3">
        <f>IF(N(F19)&gt;0,E19/F19*3,"")</f>
        <v/>
      </c>
      <c r="H19" s="3">
        <f>IF(N(F19)&gt;0,E19/F19,"")</f>
        <v/>
      </c>
      <c r="K19" s="3">
        <f>IF(N(J19)&gt;0,I19/J19*3,"")</f>
        <v/>
      </c>
      <c r="L19" t="n">
        <v>0</v>
      </c>
      <c r="M19" t="n">
        <v>6</v>
      </c>
      <c r="N19" s="4">
        <f>IF(N(M19)&gt;0,L19/M19,"")</f>
        <v/>
      </c>
      <c r="O19" t="n">
        <v>2</v>
      </c>
      <c r="P19" t="n">
        <v>1</v>
      </c>
    </row>
    <row r="20">
      <c r="A20" t="n">
        <v>2</v>
      </c>
      <c r="B20" s="2" t="n">
        <v>46289</v>
      </c>
      <c r="C20" t="inlineStr">
        <is>
          <t>2-Polonia (Baisch)</t>
        </is>
      </c>
      <c r="D20" t="inlineStr">
        <is>
          <t>John Klemick</t>
        </is>
      </c>
      <c r="G20" s="3">
        <f>IF(N(F20)&gt;0,E20/F20*3,"")</f>
        <v/>
      </c>
      <c r="H20" s="3">
        <f>IF(N(F20)&gt;0,E20/F20,"")</f>
        <v/>
      </c>
      <c r="K20" s="3">
        <f>IF(N(J20)&gt;0,I20/J20*3,"")</f>
        <v/>
      </c>
      <c r="N20" s="4">
        <f>IF(N(M20)&gt;0,L20/M20,"")</f>
        <v/>
      </c>
    </row>
    <row r="21">
      <c r="A21" t="n">
        <v>2</v>
      </c>
      <c r="B21" s="2" t="n">
        <v>46289</v>
      </c>
      <c r="C21" t="inlineStr">
        <is>
          <t>2-Polonia (Baisch)</t>
        </is>
      </c>
      <c r="D21" t="inlineStr">
        <is>
          <t>Frank Gillespie</t>
        </is>
      </c>
      <c r="E21" t="n">
        <v>331</v>
      </c>
      <c r="F21" t="n">
        <v>25</v>
      </c>
      <c r="G21" s="3">
        <f>IF(N(F21)&gt;0,E21/F21*3,"")</f>
        <v/>
      </c>
      <c r="H21" s="3">
        <f>IF(N(F21)&gt;0,E21/F21,"")</f>
        <v/>
      </c>
      <c r="K21" s="3">
        <f>IF(N(J21)&gt;0,I21/J21*3,"")</f>
        <v/>
      </c>
      <c r="L21" t="n">
        <v>1</v>
      </c>
      <c r="M21" t="n">
        <v>4</v>
      </c>
      <c r="N21" s="4">
        <f>IF(N(M21)&gt;0,L21/M21,"")</f>
        <v/>
      </c>
      <c r="O21" t="n">
        <v>2</v>
      </c>
      <c r="P21" t="n">
        <v>0</v>
      </c>
    </row>
    <row r="22">
      <c r="A22" t="n">
        <v>2</v>
      </c>
      <c r="B22" s="2" t="n">
        <v>46289</v>
      </c>
      <c r="C22" t="inlineStr">
        <is>
          <t>2-Polonia (Baisch)</t>
        </is>
      </c>
      <c r="D22" t="inlineStr">
        <is>
          <t>Jim Wright</t>
        </is>
      </c>
      <c r="E22" t="n">
        <v>628</v>
      </c>
      <c r="F22" t="n">
        <v>42</v>
      </c>
      <c r="G22" s="3">
        <f>IF(N(F22)&gt;0,E22/F22*3,"")</f>
        <v/>
      </c>
      <c r="H22" s="3">
        <f>IF(N(F22)&gt;0,E22/F22,"")</f>
        <v/>
      </c>
      <c r="I22" t="n">
        <v>14</v>
      </c>
      <c r="J22" t="n">
        <v>26</v>
      </c>
      <c r="K22" s="3">
        <f>IF(N(J22)&gt;0,I22/J22*3,"")</f>
        <v/>
      </c>
      <c r="L22" t="n">
        <v>0</v>
      </c>
      <c r="M22" t="n">
        <v>4</v>
      </c>
      <c r="N22" s="4">
        <f>IF(N(M22)&gt;0,L22/M22,"")</f>
        <v/>
      </c>
      <c r="O22" t="n">
        <v>3</v>
      </c>
      <c r="P22" t="n">
        <v>1</v>
      </c>
    </row>
    <row r="23">
      <c r="A23" t="n">
        <v>2</v>
      </c>
      <c r="B23" s="2" t="n">
        <v>46289</v>
      </c>
      <c r="C23" t="inlineStr">
        <is>
          <t>2-Polonia (Baisch)</t>
        </is>
      </c>
      <c r="D23" t="inlineStr">
        <is>
          <t>Dave Keppler</t>
        </is>
      </c>
      <c r="E23" t="n">
        <v>1390</v>
      </c>
      <c r="F23" t="n">
        <v>87</v>
      </c>
      <c r="G23" s="3">
        <f>IF(N(F23)&gt;0,E23/F23*3,"")</f>
        <v/>
      </c>
      <c r="H23" s="3">
        <f>IF(N(F23)&gt;0,E23/F23,"")</f>
        <v/>
      </c>
      <c r="I23" t="n">
        <v>29</v>
      </c>
      <c r="J23" t="n">
        <v>27</v>
      </c>
      <c r="K23" s="3">
        <f>IF(N(J23)&gt;0,I23/J23*3,"")</f>
        <v/>
      </c>
      <c r="L23" t="n">
        <v>2</v>
      </c>
      <c r="M23" t="n">
        <v>10</v>
      </c>
      <c r="N23" s="4">
        <f>IF(N(M23)&gt;0,L23/M23,"")</f>
        <v/>
      </c>
      <c r="O23" t="n">
        <v>5</v>
      </c>
      <c r="P2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hidden="1" width="13" customWidth="1" min="19" max="19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3DA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  <c r="S1" s="5" t="inlineStr">
        <is>
          <t>Sort Key (helper)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3">
        <f>IFERROR(SUMIFS(Data!$E:$E,Data!$A:$A,B$2,Data!$D:$D,$A3)/SUMIFS(Data!$F:$F,Data!$A:$A,B$2,Data!$D:$D,$A3)*3,"")</f>
        <v/>
      </c>
      <c r="C3" s="3">
        <f>IFERROR(SUMIFS(Data!$E:$E,Data!$A:$A,C$2,Data!$D:$D,$A3)/SUMIFS(Data!$F:$F,Data!$A:$A,C$2,Data!$D:$D,$A3)*3,"")</f>
        <v/>
      </c>
      <c r="D3" s="3">
        <f>IFERROR(SUMIFS(Data!$E:$E,Data!$A:$A,D$2,Data!$D:$D,$A3)/SUMIFS(Data!$F:$F,Data!$A:$A,D$2,Data!$D:$D,$A3)*3,"")</f>
        <v/>
      </c>
      <c r="E3" s="3">
        <f>IFERROR(SUMIFS(Data!$E:$E,Data!$A:$A,E$2,Data!$D:$D,$A3)/SUMIFS(Data!$F:$F,Data!$A:$A,E$2,Data!$D:$D,$A3)*3,"")</f>
        <v/>
      </c>
      <c r="F3" s="3">
        <f>IFERROR(SUMIFS(Data!$E:$E,Data!$A:$A,F$2,Data!$D:$D,$A3)/SUMIFS(Data!$F:$F,Data!$A:$A,F$2,Data!$D:$D,$A3)*3,"")</f>
        <v/>
      </c>
      <c r="G3" s="3">
        <f>IFERROR(SUMIFS(Data!$E:$E,Data!$A:$A,G$2,Data!$D:$D,$A3)/SUMIFS(Data!$F:$F,Data!$A:$A,G$2,Data!$D:$D,$A3)*3,"")</f>
        <v/>
      </c>
      <c r="H3" s="3">
        <f>IFERROR(SUMIFS(Data!$E:$E,Data!$A:$A,H$2,Data!$D:$D,$A3)/SUMIFS(Data!$F:$F,Data!$A:$A,H$2,Data!$D:$D,$A3)*3,"")</f>
        <v/>
      </c>
      <c r="I3" s="3">
        <f>IFERROR(SUMIFS(Data!$E:$E,Data!$A:$A,I$2,Data!$D:$D,$A3)/SUMIFS(Data!$F:$F,Data!$A:$A,I$2,Data!$D:$D,$A3)*3,"")</f>
        <v/>
      </c>
      <c r="J3" s="3">
        <f>IFERROR(SUMIFS(Data!$E:$E,Data!$A:$A,J$2,Data!$D:$D,$A3)/SUMIFS(Data!$F:$F,Data!$A:$A,J$2,Data!$D:$D,$A3)*3,"")</f>
        <v/>
      </c>
      <c r="K3" s="3">
        <f>IFERROR(SUMIFS(Data!$E:$E,Data!$A:$A,K$2,Data!$D:$D,$A3)/SUMIFS(Data!$F:$F,Data!$A:$A,K$2,Data!$D:$D,$A3)*3,"")</f>
        <v/>
      </c>
      <c r="L3" s="3">
        <f>IFERROR(SUMIFS(Data!$E:$E,Data!$D:$D,$A3)/SUMIFS(Data!$F:$F,Data!$D:$D,$A3)*3,"")</f>
        <v/>
      </c>
      <c r="M3" s="3">
        <f>IF(COUNT(B3:K3)=0,"",MAX(B3:K3))</f>
        <v/>
      </c>
      <c r="N3" s="3">
        <f>IF(COUNT(B3:K3)=0,"",MIN(B3:K3))</f>
        <v/>
      </c>
      <c r="O3">
        <f>COUNT(B3:K3)</f>
        <v/>
      </c>
      <c r="P3" s="3">
        <f>IF(COUNT(B3:K3)=0,"",INDEX(B3:K3,_xlfn.MAXIFS($B$2:$K$2,B3:K3,"&gt;=0")))</f>
        <v/>
      </c>
      <c r="Q3">
        <f>IF(COUNT(B3:K3)=0,"","W"&amp;INDEX($B$2:$K$2,MATCH(M3,B3:K3,0)))</f>
        <v/>
      </c>
      <c r="S3">
        <f>IF(ISNUMBER(L3),L3,-1)-ROW()/1000000</f>
        <v/>
      </c>
    </row>
    <row r="4">
      <c r="A4" s="5" t="inlineStr">
        <is>
          <t>Jeff Broderick</t>
        </is>
      </c>
      <c r="B4" s="3">
        <f>IFERROR(SUMIFS(Data!$E:$E,Data!$A:$A,B$2,Data!$D:$D,$A4)/SUMIFS(Data!$F:$F,Data!$A:$A,B$2,Data!$D:$D,$A4)*3,"")</f>
        <v/>
      </c>
      <c r="C4" s="3">
        <f>IFERROR(SUMIFS(Data!$E:$E,Data!$A:$A,C$2,Data!$D:$D,$A4)/SUMIFS(Data!$F:$F,Data!$A:$A,C$2,Data!$D:$D,$A4)*3,"")</f>
        <v/>
      </c>
      <c r="D4" s="3">
        <f>IFERROR(SUMIFS(Data!$E:$E,Data!$A:$A,D$2,Data!$D:$D,$A4)/SUMIFS(Data!$F:$F,Data!$A:$A,D$2,Data!$D:$D,$A4)*3,"")</f>
        <v/>
      </c>
      <c r="E4" s="3">
        <f>IFERROR(SUMIFS(Data!$E:$E,Data!$A:$A,E$2,Data!$D:$D,$A4)/SUMIFS(Data!$F:$F,Data!$A:$A,E$2,Data!$D:$D,$A4)*3,"")</f>
        <v/>
      </c>
      <c r="F4" s="3">
        <f>IFERROR(SUMIFS(Data!$E:$E,Data!$A:$A,F$2,Data!$D:$D,$A4)/SUMIFS(Data!$F:$F,Data!$A:$A,F$2,Data!$D:$D,$A4)*3,"")</f>
        <v/>
      </c>
      <c r="G4" s="3">
        <f>IFERROR(SUMIFS(Data!$E:$E,Data!$A:$A,G$2,Data!$D:$D,$A4)/SUMIFS(Data!$F:$F,Data!$A:$A,G$2,Data!$D:$D,$A4)*3,"")</f>
        <v/>
      </c>
      <c r="H4" s="3">
        <f>IFERROR(SUMIFS(Data!$E:$E,Data!$A:$A,H$2,Data!$D:$D,$A4)/SUMIFS(Data!$F:$F,Data!$A:$A,H$2,Data!$D:$D,$A4)*3,"")</f>
        <v/>
      </c>
      <c r="I4" s="3">
        <f>IFERROR(SUMIFS(Data!$E:$E,Data!$A:$A,I$2,Data!$D:$D,$A4)/SUMIFS(Data!$F:$F,Data!$A:$A,I$2,Data!$D:$D,$A4)*3,"")</f>
        <v/>
      </c>
      <c r="J4" s="3">
        <f>IFERROR(SUMIFS(Data!$E:$E,Data!$A:$A,J$2,Data!$D:$D,$A4)/SUMIFS(Data!$F:$F,Data!$A:$A,J$2,Data!$D:$D,$A4)*3,"")</f>
        <v/>
      </c>
      <c r="K4" s="3">
        <f>IFERROR(SUMIFS(Data!$E:$E,Data!$A:$A,K$2,Data!$D:$D,$A4)/SUMIFS(Data!$F:$F,Data!$A:$A,K$2,Data!$D:$D,$A4)*3,"")</f>
        <v/>
      </c>
      <c r="L4" s="3">
        <f>IFERROR(SUMIFS(Data!$E:$E,Data!$D:$D,$A4)/SUMIFS(Data!$F:$F,Data!$D:$D,$A4)*3,"")</f>
        <v/>
      </c>
      <c r="M4" s="3">
        <f>IF(COUNT(B4:K4)=0,"",MAX(B4:K4))</f>
        <v/>
      </c>
      <c r="N4" s="3">
        <f>IF(COUNT(B4:K4)=0,"",MIN(B4:K4))</f>
        <v/>
      </c>
      <c r="O4">
        <f>COUNT(B4:K4)</f>
        <v/>
      </c>
      <c r="P4" s="3">
        <f>IF(COUNT(B4:K4)=0,"",INDEX(B4:K4,_xlfn.MAXIFS($B$2:$K$2,B4:K4,"&gt;=0")))</f>
        <v/>
      </c>
      <c r="Q4">
        <f>IF(COUNT(B4:K4)=0,"","W"&amp;INDEX($B$2:$K$2,MATCH(M4,B4:K4,0)))</f>
        <v/>
      </c>
      <c r="S4">
        <f>IF(ISNUMBER(L4),L4,-1)-ROW()/1000000</f>
        <v/>
      </c>
    </row>
    <row r="5">
      <c r="A5" s="5" t="inlineStr">
        <is>
          <t>Captain (Vince Clemins)</t>
        </is>
      </c>
      <c r="B5" s="3">
        <f>IFERROR(SUMIFS(Data!$E:$E,Data!$A:$A,B$2,Data!$D:$D,$A5)/SUMIFS(Data!$F:$F,Data!$A:$A,B$2,Data!$D:$D,$A5)*3,"")</f>
        <v/>
      </c>
      <c r="C5" s="3">
        <f>IFERROR(SUMIFS(Data!$E:$E,Data!$A:$A,C$2,Data!$D:$D,$A5)/SUMIFS(Data!$F:$F,Data!$A:$A,C$2,Data!$D:$D,$A5)*3,"")</f>
        <v/>
      </c>
      <c r="D5" s="3">
        <f>IFERROR(SUMIFS(Data!$E:$E,Data!$A:$A,D$2,Data!$D:$D,$A5)/SUMIFS(Data!$F:$F,Data!$A:$A,D$2,Data!$D:$D,$A5)*3,"")</f>
        <v/>
      </c>
      <c r="E5" s="3">
        <f>IFERROR(SUMIFS(Data!$E:$E,Data!$A:$A,E$2,Data!$D:$D,$A5)/SUMIFS(Data!$F:$F,Data!$A:$A,E$2,Data!$D:$D,$A5)*3,"")</f>
        <v/>
      </c>
      <c r="F5" s="3">
        <f>IFERROR(SUMIFS(Data!$E:$E,Data!$A:$A,F$2,Data!$D:$D,$A5)/SUMIFS(Data!$F:$F,Data!$A:$A,F$2,Data!$D:$D,$A5)*3,"")</f>
        <v/>
      </c>
      <c r="G5" s="3">
        <f>IFERROR(SUMIFS(Data!$E:$E,Data!$A:$A,G$2,Data!$D:$D,$A5)/SUMIFS(Data!$F:$F,Data!$A:$A,G$2,Data!$D:$D,$A5)*3,"")</f>
        <v/>
      </c>
      <c r="H5" s="3">
        <f>IFERROR(SUMIFS(Data!$E:$E,Data!$A:$A,H$2,Data!$D:$D,$A5)/SUMIFS(Data!$F:$F,Data!$A:$A,H$2,Data!$D:$D,$A5)*3,"")</f>
        <v/>
      </c>
      <c r="I5" s="3">
        <f>IFERROR(SUMIFS(Data!$E:$E,Data!$A:$A,I$2,Data!$D:$D,$A5)/SUMIFS(Data!$F:$F,Data!$A:$A,I$2,Data!$D:$D,$A5)*3,"")</f>
        <v/>
      </c>
      <c r="J5" s="3">
        <f>IFERROR(SUMIFS(Data!$E:$E,Data!$A:$A,J$2,Data!$D:$D,$A5)/SUMIFS(Data!$F:$F,Data!$A:$A,J$2,Data!$D:$D,$A5)*3,"")</f>
        <v/>
      </c>
      <c r="K5" s="3">
        <f>IFERROR(SUMIFS(Data!$E:$E,Data!$A:$A,K$2,Data!$D:$D,$A5)/SUMIFS(Data!$F:$F,Data!$A:$A,K$2,Data!$D:$D,$A5)*3,"")</f>
        <v/>
      </c>
      <c r="L5" s="3">
        <f>IFERROR(SUMIFS(Data!$E:$E,Data!$D:$D,$A5)/SUMIFS(Data!$F:$F,Data!$D:$D,$A5)*3,"")</f>
        <v/>
      </c>
      <c r="M5" s="3">
        <f>IF(COUNT(B5:K5)=0,"",MAX(B5:K5))</f>
        <v/>
      </c>
      <c r="N5" s="3">
        <f>IF(COUNT(B5:K5)=0,"",MIN(B5:K5))</f>
        <v/>
      </c>
      <c r="O5">
        <f>COUNT(B5:K5)</f>
        <v/>
      </c>
      <c r="P5" s="3">
        <f>IF(COUNT(B5:K5)=0,"",INDEX(B5:K5,_xlfn.MAXIFS($B$2:$K$2,B5:K5,"&gt;=0")))</f>
        <v/>
      </c>
      <c r="Q5">
        <f>IF(COUNT(B5:K5)=0,"","W"&amp;INDEX($B$2:$K$2,MATCH(M5,B5:K5,0)))</f>
        <v/>
      </c>
      <c r="S5">
        <f>IF(ISNUMBER(L5),L5,-1)-ROW()/1000000</f>
        <v/>
      </c>
    </row>
    <row r="6">
      <c r="A6" s="5" t="inlineStr">
        <is>
          <t>Al Fromenko</t>
        </is>
      </c>
      <c r="B6" s="3">
        <f>IFERROR(SUMIFS(Data!$E:$E,Data!$A:$A,B$2,Data!$D:$D,$A6)/SUMIFS(Data!$F:$F,Data!$A:$A,B$2,Data!$D:$D,$A6)*3,"")</f>
        <v/>
      </c>
      <c r="C6" s="3">
        <f>IFERROR(SUMIFS(Data!$E:$E,Data!$A:$A,C$2,Data!$D:$D,$A6)/SUMIFS(Data!$F:$F,Data!$A:$A,C$2,Data!$D:$D,$A6)*3,"")</f>
        <v/>
      </c>
      <c r="D6" s="3">
        <f>IFERROR(SUMIFS(Data!$E:$E,Data!$A:$A,D$2,Data!$D:$D,$A6)/SUMIFS(Data!$F:$F,Data!$A:$A,D$2,Data!$D:$D,$A6)*3,"")</f>
        <v/>
      </c>
      <c r="E6" s="3">
        <f>IFERROR(SUMIFS(Data!$E:$E,Data!$A:$A,E$2,Data!$D:$D,$A6)/SUMIFS(Data!$F:$F,Data!$A:$A,E$2,Data!$D:$D,$A6)*3,"")</f>
        <v/>
      </c>
      <c r="F6" s="3">
        <f>IFERROR(SUMIFS(Data!$E:$E,Data!$A:$A,F$2,Data!$D:$D,$A6)/SUMIFS(Data!$F:$F,Data!$A:$A,F$2,Data!$D:$D,$A6)*3,"")</f>
        <v/>
      </c>
      <c r="G6" s="3">
        <f>IFERROR(SUMIFS(Data!$E:$E,Data!$A:$A,G$2,Data!$D:$D,$A6)/SUMIFS(Data!$F:$F,Data!$A:$A,G$2,Data!$D:$D,$A6)*3,"")</f>
        <v/>
      </c>
      <c r="H6" s="3">
        <f>IFERROR(SUMIFS(Data!$E:$E,Data!$A:$A,H$2,Data!$D:$D,$A6)/SUMIFS(Data!$F:$F,Data!$A:$A,H$2,Data!$D:$D,$A6)*3,"")</f>
        <v/>
      </c>
      <c r="I6" s="3">
        <f>IFERROR(SUMIFS(Data!$E:$E,Data!$A:$A,I$2,Data!$D:$D,$A6)/SUMIFS(Data!$F:$F,Data!$A:$A,I$2,Data!$D:$D,$A6)*3,"")</f>
        <v/>
      </c>
      <c r="J6" s="3">
        <f>IFERROR(SUMIFS(Data!$E:$E,Data!$A:$A,J$2,Data!$D:$D,$A6)/SUMIFS(Data!$F:$F,Data!$A:$A,J$2,Data!$D:$D,$A6)*3,"")</f>
        <v/>
      </c>
      <c r="K6" s="3">
        <f>IFERROR(SUMIFS(Data!$E:$E,Data!$A:$A,K$2,Data!$D:$D,$A6)/SUMIFS(Data!$F:$F,Data!$A:$A,K$2,Data!$D:$D,$A6)*3,"")</f>
        <v/>
      </c>
      <c r="L6" s="3">
        <f>IFERROR(SUMIFS(Data!$E:$E,Data!$D:$D,$A6)/SUMIFS(Data!$F:$F,Data!$D:$D,$A6)*3,"")</f>
        <v/>
      </c>
      <c r="M6" s="3">
        <f>IF(COUNT(B6:K6)=0,"",MAX(B6:K6))</f>
        <v/>
      </c>
      <c r="N6" s="3">
        <f>IF(COUNT(B6:K6)=0,"",MIN(B6:K6))</f>
        <v/>
      </c>
      <c r="O6">
        <f>COUNT(B6:K6)</f>
        <v/>
      </c>
      <c r="P6" s="3">
        <f>IF(COUNT(B6:K6)=0,"",INDEX(B6:K6,_xlfn.MAXIFS($B$2:$K$2,B6:K6,"&gt;=0")))</f>
        <v/>
      </c>
      <c r="Q6">
        <f>IF(COUNT(B6:K6)=0,"","W"&amp;INDEX($B$2:$K$2,MATCH(M6,B6:K6,0)))</f>
        <v/>
      </c>
      <c r="S6">
        <f>IF(ISNUMBER(L6),L6,-1)-ROW()/1000000</f>
        <v/>
      </c>
    </row>
    <row r="7">
      <c r="A7" s="5" t="inlineStr">
        <is>
          <t>Bill Prelle</t>
        </is>
      </c>
      <c r="B7" s="3">
        <f>IFERROR(SUMIFS(Data!$E:$E,Data!$A:$A,B$2,Data!$D:$D,$A7)/SUMIFS(Data!$F:$F,Data!$A:$A,B$2,Data!$D:$D,$A7)*3,"")</f>
        <v/>
      </c>
      <c r="C7" s="3">
        <f>IFERROR(SUMIFS(Data!$E:$E,Data!$A:$A,C$2,Data!$D:$D,$A7)/SUMIFS(Data!$F:$F,Data!$A:$A,C$2,Data!$D:$D,$A7)*3,"")</f>
        <v/>
      </c>
      <c r="D7" s="3">
        <f>IFERROR(SUMIFS(Data!$E:$E,Data!$A:$A,D$2,Data!$D:$D,$A7)/SUMIFS(Data!$F:$F,Data!$A:$A,D$2,Data!$D:$D,$A7)*3,"")</f>
        <v/>
      </c>
      <c r="E7" s="3">
        <f>IFERROR(SUMIFS(Data!$E:$E,Data!$A:$A,E$2,Data!$D:$D,$A7)/SUMIFS(Data!$F:$F,Data!$A:$A,E$2,Data!$D:$D,$A7)*3,"")</f>
        <v/>
      </c>
      <c r="F7" s="3">
        <f>IFERROR(SUMIFS(Data!$E:$E,Data!$A:$A,F$2,Data!$D:$D,$A7)/SUMIFS(Data!$F:$F,Data!$A:$A,F$2,Data!$D:$D,$A7)*3,"")</f>
        <v/>
      </c>
      <c r="G7" s="3">
        <f>IFERROR(SUMIFS(Data!$E:$E,Data!$A:$A,G$2,Data!$D:$D,$A7)/SUMIFS(Data!$F:$F,Data!$A:$A,G$2,Data!$D:$D,$A7)*3,"")</f>
        <v/>
      </c>
      <c r="H7" s="3">
        <f>IFERROR(SUMIFS(Data!$E:$E,Data!$A:$A,H$2,Data!$D:$D,$A7)/SUMIFS(Data!$F:$F,Data!$A:$A,H$2,Data!$D:$D,$A7)*3,"")</f>
        <v/>
      </c>
      <c r="I7" s="3">
        <f>IFERROR(SUMIFS(Data!$E:$E,Data!$A:$A,I$2,Data!$D:$D,$A7)/SUMIFS(Data!$F:$F,Data!$A:$A,I$2,Data!$D:$D,$A7)*3,"")</f>
        <v/>
      </c>
      <c r="J7" s="3">
        <f>IFERROR(SUMIFS(Data!$E:$E,Data!$A:$A,J$2,Data!$D:$D,$A7)/SUMIFS(Data!$F:$F,Data!$A:$A,J$2,Data!$D:$D,$A7)*3,"")</f>
        <v/>
      </c>
      <c r="K7" s="3">
        <f>IFERROR(SUMIFS(Data!$E:$E,Data!$A:$A,K$2,Data!$D:$D,$A7)/SUMIFS(Data!$F:$F,Data!$A:$A,K$2,Data!$D:$D,$A7)*3,"")</f>
        <v/>
      </c>
      <c r="L7" s="3">
        <f>IFERROR(SUMIFS(Data!$E:$E,Data!$D:$D,$A7)/SUMIFS(Data!$F:$F,Data!$D:$D,$A7)*3,"")</f>
        <v/>
      </c>
      <c r="M7" s="3">
        <f>IF(COUNT(B7:K7)=0,"",MAX(B7:K7))</f>
        <v/>
      </c>
      <c r="N7" s="3">
        <f>IF(COUNT(B7:K7)=0,"",MIN(B7:K7))</f>
        <v/>
      </c>
      <c r="O7">
        <f>COUNT(B7:K7)</f>
        <v/>
      </c>
      <c r="P7" s="3">
        <f>IF(COUNT(B7:K7)=0,"",INDEX(B7:K7,_xlfn.MAXIFS($B$2:$K$2,B7:K7,"&gt;=0")))</f>
        <v/>
      </c>
      <c r="Q7">
        <f>IF(COUNT(B7:K7)=0,"","W"&amp;INDEX($B$2:$K$2,MATCH(M7,B7:K7,0)))</f>
        <v/>
      </c>
      <c r="S7">
        <f>IF(ISNUMBER(L7),L7,-1)-ROW()/1000000</f>
        <v/>
      </c>
    </row>
    <row r="8">
      <c r="A8" s="5" t="inlineStr">
        <is>
          <t>Keith McCarthy</t>
        </is>
      </c>
      <c r="B8" s="3">
        <f>IFERROR(SUMIFS(Data!$E:$E,Data!$A:$A,B$2,Data!$D:$D,$A8)/SUMIFS(Data!$F:$F,Data!$A:$A,B$2,Data!$D:$D,$A8)*3,"")</f>
        <v/>
      </c>
      <c r="C8" s="3">
        <f>IFERROR(SUMIFS(Data!$E:$E,Data!$A:$A,C$2,Data!$D:$D,$A8)/SUMIFS(Data!$F:$F,Data!$A:$A,C$2,Data!$D:$D,$A8)*3,"")</f>
        <v/>
      </c>
      <c r="D8" s="3">
        <f>IFERROR(SUMIFS(Data!$E:$E,Data!$A:$A,D$2,Data!$D:$D,$A8)/SUMIFS(Data!$F:$F,Data!$A:$A,D$2,Data!$D:$D,$A8)*3,"")</f>
        <v/>
      </c>
      <c r="E8" s="3">
        <f>IFERROR(SUMIFS(Data!$E:$E,Data!$A:$A,E$2,Data!$D:$D,$A8)/SUMIFS(Data!$F:$F,Data!$A:$A,E$2,Data!$D:$D,$A8)*3,"")</f>
        <v/>
      </c>
      <c r="F8" s="3">
        <f>IFERROR(SUMIFS(Data!$E:$E,Data!$A:$A,F$2,Data!$D:$D,$A8)/SUMIFS(Data!$F:$F,Data!$A:$A,F$2,Data!$D:$D,$A8)*3,"")</f>
        <v/>
      </c>
      <c r="G8" s="3">
        <f>IFERROR(SUMIFS(Data!$E:$E,Data!$A:$A,G$2,Data!$D:$D,$A8)/SUMIFS(Data!$F:$F,Data!$A:$A,G$2,Data!$D:$D,$A8)*3,"")</f>
        <v/>
      </c>
      <c r="H8" s="3">
        <f>IFERROR(SUMIFS(Data!$E:$E,Data!$A:$A,H$2,Data!$D:$D,$A8)/SUMIFS(Data!$F:$F,Data!$A:$A,H$2,Data!$D:$D,$A8)*3,"")</f>
        <v/>
      </c>
      <c r="I8" s="3">
        <f>IFERROR(SUMIFS(Data!$E:$E,Data!$A:$A,I$2,Data!$D:$D,$A8)/SUMIFS(Data!$F:$F,Data!$A:$A,I$2,Data!$D:$D,$A8)*3,"")</f>
        <v/>
      </c>
      <c r="J8" s="3">
        <f>IFERROR(SUMIFS(Data!$E:$E,Data!$A:$A,J$2,Data!$D:$D,$A8)/SUMIFS(Data!$F:$F,Data!$A:$A,J$2,Data!$D:$D,$A8)*3,"")</f>
        <v/>
      </c>
      <c r="K8" s="3">
        <f>IFERROR(SUMIFS(Data!$E:$E,Data!$A:$A,K$2,Data!$D:$D,$A8)/SUMIFS(Data!$F:$F,Data!$A:$A,K$2,Data!$D:$D,$A8)*3,"")</f>
        <v/>
      </c>
      <c r="L8" s="3">
        <f>IFERROR(SUMIFS(Data!$E:$E,Data!$D:$D,$A8)/SUMIFS(Data!$F:$F,Data!$D:$D,$A8)*3,"")</f>
        <v/>
      </c>
      <c r="M8" s="3">
        <f>IF(COUNT(B8:K8)=0,"",MAX(B8:K8))</f>
        <v/>
      </c>
      <c r="N8" s="3">
        <f>IF(COUNT(B8:K8)=0,"",MIN(B8:K8))</f>
        <v/>
      </c>
      <c r="O8">
        <f>COUNT(B8:K8)</f>
        <v/>
      </c>
      <c r="P8" s="3">
        <f>IF(COUNT(B8:K8)=0,"",INDEX(B8:K8,_xlfn.MAXIFS($B$2:$K$2,B8:K8,"&gt;=0")))</f>
        <v/>
      </c>
      <c r="Q8">
        <f>IF(COUNT(B8:K8)=0,"","W"&amp;INDEX($B$2:$K$2,MATCH(M8,B8:K8,0)))</f>
        <v/>
      </c>
      <c r="S8">
        <f>IF(ISNUMBER(L8),L8,-1)-ROW()/1000000</f>
        <v/>
      </c>
    </row>
    <row r="9">
      <c r="A9" s="5" t="inlineStr">
        <is>
          <t>Tom Davis</t>
        </is>
      </c>
      <c r="B9" s="3">
        <f>IFERROR(SUMIFS(Data!$E:$E,Data!$A:$A,B$2,Data!$D:$D,$A9)/SUMIFS(Data!$F:$F,Data!$A:$A,B$2,Data!$D:$D,$A9)*3,"")</f>
        <v/>
      </c>
      <c r="C9" s="3">
        <f>IFERROR(SUMIFS(Data!$E:$E,Data!$A:$A,C$2,Data!$D:$D,$A9)/SUMIFS(Data!$F:$F,Data!$A:$A,C$2,Data!$D:$D,$A9)*3,"")</f>
        <v/>
      </c>
      <c r="D9" s="3">
        <f>IFERROR(SUMIFS(Data!$E:$E,Data!$A:$A,D$2,Data!$D:$D,$A9)/SUMIFS(Data!$F:$F,Data!$A:$A,D$2,Data!$D:$D,$A9)*3,"")</f>
        <v/>
      </c>
      <c r="E9" s="3">
        <f>IFERROR(SUMIFS(Data!$E:$E,Data!$A:$A,E$2,Data!$D:$D,$A9)/SUMIFS(Data!$F:$F,Data!$A:$A,E$2,Data!$D:$D,$A9)*3,"")</f>
        <v/>
      </c>
      <c r="F9" s="3">
        <f>IFERROR(SUMIFS(Data!$E:$E,Data!$A:$A,F$2,Data!$D:$D,$A9)/SUMIFS(Data!$F:$F,Data!$A:$A,F$2,Data!$D:$D,$A9)*3,"")</f>
        <v/>
      </c>
      <c r="G9" s="3">
        <f>IFERROR(SUMIFS(Data!$E:$E,Data!$A:$A,G$2,Data!$D:$D,$A9)/SUMIFS(Data!$F:$F,Data!$A:$A,G$2,Data!$D:$D,$A9)*3,"")</f>
        <v/>
      </c>
      <c r="H9" s="3">
        <f>IFERROR(SUMIFS(Data!$E:$E,Data!$A:$A,H$2,Data!$D:$D,$A9)/SUMIFS(Data!$F:$F,Data!$A:$A,H$2,Data!$D:$D,$A9)*3,"")</f>
        <v/>
      </c>
      <c r="I9" s="3">
        <f>IFERROR(SUMIFS(Data!$E:$E,Data!$A:$A,I$2,Data!$D:$D,$A9)/SUMIFS(Data!$F:$F,Data!$A:$A,I$2,Data!$D:$D,$A9)*3,"")</f>
        <v/>
      </c>
      <c r="J9" s="3">
        <f>IFERROR(SUMIFS(Data!$E:$E,Data!$A:$A,J$2,Data!$D:$D,$A9)/SUMIFS(Data!$F:$F,Data!$A:$A,J$2,Data!$D:$D,$A9)*3,"")</f>
        <v/>
      </c>
      <c r="K9" s="3">
        <f>IFERROR(SUMIFS(Data!$E:$E,Data!$A:$A,K$2,Data!$D:$D,$A9)/SUMIFS(Data!$F:$F,Data!$A:$A,K$2,Data!$D:$D,$A9)*3,"")</f>
        <v/>
      </c>
      <c r="L9" s="3">
        <f>IFERROR(SUMIFS(Data!$E:$E,Data!$D:$D,$A9)/SUMIFS(Data!$F:$F,Data!$D:$D,$A9)*3,"")</f>
        <v/>
      </c>
      <c r="M9" s="3">
        <f>IF(COUNT(B9:K9)=0,"",MAX(B9:K9))</f>
        <v/>
      </c>
      <c r="N9" s="3">
        <f>IF(COUNT(B9:K9)=0,"",MIN(B9:K9))</f>
        <v/>
      </c>
      <c r="O9">
        <f>COUNT(B9:K9)</f>
        <v/>
      </c>
      <c r="P9" s="3">
        <f>IF(COUNT(B9:K9)=0,"",INDEX(B9:K9,_xlfn.MAXIFS($B$2:$K$2,B9:K9,"&gt;=0")))</f>
        <v/>
      </c>
      <c r="Q9">
        <f>IF(COUNT(B9:K9)=0,"","W"&amp;INDEX($B$2:$K$2,MATCH(M9,B9:K9,0)))</f>
        <v/>
      </c>
      <c r="S9">
        <f>IF(ISNUMBER(L9),L9,-1)-ROW()/1000000</f>
        <v/>
      </c>
    </row>
    <row r="10">
      <c r="A10" s="5" t="inlineStr">
        <is>
          <t>John Klemick</t>
        </is>
      </c>
      <c r="B10" s="3">
        <f>IFERROR(SUMIFS(Data!$E:$E,Data!$A:$A,B$2,Data!$D:$D,$A10)/SUMIFS(Data!$F:$F,Data!$A:$A,B$2,Data!$D:$D,$A10)*3,"")</f>
        <v/>
      </c>
      <c r="C10" s="3">
        <f>IFERROR(SUMIFS(Data!$E:$E,Data!$A:$A,C$2,Data!$D:$D,$A10)/SUMIFS(Data!$F:$F,Data!$A:$A,C$2,Data!$D:$D,$A10)*3,"")</f>
        <v/>
      </c>
      <c r="D10" s="3">
        <f>IFERROR(SUMIFS(Data!$E:$E,Data!$A:$A,D$2,Data!$D:$D,$A10)/SUMIFS(Data!$F:$F,Data!$A:$A,D$2,Data!$D:$D,$A10)*3,"")</f>
        <v/>
      </c>
      <c r="E10" s="3">
        <f>IFERROR(SUMIFS(Data!$E:$E,Data!$A:$A,E$2,Data!$D:$D,$A10)/SUMIFS(Data!$F:$F,Data!$A:$A,E$2,Data!$D:$D,$A10)*3,"")</f>
        <v/>
      </c>
      <c r="F10" s="3">
        <f>IFERROR(SUMIFS(Data!$E:$E,Data!$A:$A,F$2,Data!$D:$D,$A10)/SUMIFS(Data!$F:$F,Data!$A:$A,F$2,Data!$D:$D,$A10)*3,"")</f>
        <v/>
      </c>
      <c r="G10" s="3">
        <f>IFERROR(SUMIFS(Data!$E:$E,Data!$A:$A,G$2,Data!$D:$D,$A10)/SUMIFS(Data!$F:$F,Data!$A:$A,G$2,Data!$D:$D,$A10)*3,"")</f>
        <v/>
      </c>
      <c r="H10" s="3">
        <f>IFERROR(SUMIFS(Data!$E:$E,Data!$A:$A,H$2,Data!$D:$D,$A10)/SUMIFS(Data!$F:$F,Data!$A:$A,H$2,Data!$D:$D,$A10)*3,"")</f>
        <v/>
      </c>
      <c r="I10" s="3">
        <f>IFERROR(SUMIFS(Data!$E:$E,Data!$A:$A,I$2,Data!$D:$D,$A10)/SUMIFS(Data!$F:$F,Data!$A:$A,I$2,Data!$D:$D,$A10)*3,"")</f>
        <v/>
      </c>
      <c r="J10" s="3">
        <f>IFERROR(SUMIFS(Data!$E:$E,Data!$A:$A,J$2,Data!$D:$D,$A10)/SUMIFS(Data!$F:$F,Data!$A:$A,J$2,Data!$D:$D,$A10)*3,"")</f>
        <v/>
      </c>
      <c r="K10" s="3">
        <f>IFERROR(SUMIFS(Data!$E:$E,Data!$A:$A,K$2,Data!$D:$D,$A10)/SUMIFS(Data!$F:$F,Data!$A:$A,K$2,Data!$D:$D,$A10)*3,"")</f>
        <v/>
      </c>
      <c r="L10" s="3">
        <f>IFERROR(SUMIFS(Data!$E:$E,Data!$D:$D,$A10)/SUMIFS(Data!$F:$F,Data!$D:$D,$A10)*3,"")</f>
        <v/>
      </c>
      <c r="M10" s="3">
        <f>IF(COUNT(B10:K10)=0,"",MAX(B10:K10))</f>
        <v/>
      </c>
      <c r="N10" s="3">
        <f>IF(COUNT(B10:K10)=0,"",MIN(B10:K10))</f>
        <v/>
      </c>
      <c r="O10">
        <f>COUNT(B10:K10)</f>
        <v/>
      </c>
      <c r="P10" s="3">
        <f>IF(COUNT(B10:K10)=0,"",INDEX(B10:K10,_xlfn.MAXIFS($B$2:$K$2,B10:K10,"&gt;=0")))</f>
        <v/>
      </c>
      <c r="Q10">
        <f>IF(COUNT(B10:K10)=0,"","W"&amp;INDEX($B$2:$K$2,MATCH(M10,B10:K10,0)))</f>
        <v/>
      </c>
      <c r="S10">
        <f>IF(ISNUMBER(L10),L10,-1)-ROW()/1000000</f>
        <v/>
      </c>
    </row>
    <row r="11">
      <c r="A11" s="5" t="inlineStr">
        <is>
          <t>Frank Gillespie</t>
        </is>
      </c>
      <c r="B11" s="3">
        <f>IFERROR(SUMIFS(Data!$E:$E,Data!$A:$A,B$2,Data!$D:$D,$A11)/SUMIFS(Data!$F:$F,Data!$A:$A,B$2,Data!$D:$D,$A11)*3,"")</f>
        <v/>
      </c>
      <c r="C11" s="3">
        <f>IFERROR(SUMIFS(Data!$E:$E,Data!$A:$A,C$2,Data!$D:$D,$A11)/SUMIFS(Data!$F:$F,Data!$A:$A,C$2,Data!$D:$D,$A11)*3,"")</f>
        <v/>
      </c>
      <c r="D11" s="3">
        <f>IFERROR(SUMIFS(Data!$E:$E,Data!$A:$A,D$2,Data!$D:$D,$A11)/SUMIFS(Data!$F:$F,Data!$A:$A,D$2,Data!$D:$D,$A11)*3,"")</f>
        <v/>
      </c>
      <c r="E11" s="3">
        <f>IFERROR(SUMIFS(Data!$E:$E,Data!$A:$A,E$2,Data!$D:$D,$A11)/SUMIFS(Data!$F:$F,Data!$A:$A,E$2,Data!$D:$D,$A11)*3,"")</f>
        <v/>
      </c>
      <c r="F11" s="3">
        <f>IFERROR(SUMIFS(Data!$E:$E,Data!$A:$A,F$2,Data!$D:$D,$A11)/SUMIFS(Data!$F:$F,Data!$A:$A,F$2,Data!$D:$D,$A11)*3,"")</f>
        <v/>
      </c>
      <c r="G11" s="3">
        <f>IFERROR(SUMIFS(Data!$E:$E,Data!$A:$A,G$2,Data!$D:$D,$A11)/SUMIFS(Data!$F:$F,Data!$A:$A,G$2,Data!$D:$D,$A11)*3,"")</f>
        <v/>
      </c>
      <c r="H11" s="3">
        <f>IFERROR(SUMIFS(Data!$E:$E,Data!$A:$A,H$2,Data!$D:$D,$A11)/SUMIFS(Data!$F:$F,Data!$A:$A,H$2,Data!$D:$D,$A11)*3,"")</f>
        <v/>
      </c>
      <c r="I11" s="3">
        <f>IFERROR(SUMIFS(Data!$E:$E,Data!$A:$A,I$2,Data!$D:$D,$A11)/SUMIFS(Data!$F:$F,Data!$A:$A,I$2,Data!$D:$D,$A11)*3,"")</f>
        <v/>
      </c>
      <c r="J11" s="3">
        <f>IFERROR(SUMIFS(Data!$E:$E,Data!$A:$A,J$2,Data!$D:$D,$A11)/SUMIFS(Data!$F:$F,Data!$A:$A,J$2,Data!$D:$D,$A11)*3,"")</f>
        <v/>
      </c>
      <c r="K11" s="3">
        <f>IFERROR(SUMIFS(Data!$E:$E,Data!$A:$A,K$2,Data!$D:$D,$A11)/SUMIFS(Data!$F:$F,Data!$A:$A,K$2,Data!$D:$D,$A11)*3,"")</f>
        <v/>
      </c>
      <c r="L11" s="3">
        <f>IFERROR(SUMIFS(Data!$E:$E,Data!$D:$D,$A11)/SUMIFS(Data!$F:$F,Data!$D:$D,$A11)*3,"")</f>
        <v/>
      </c>
      <c r="M11" s="3">
        <f>IF(COUNT(B11:K11)=0,"",MAX(B11:K11))</f>
        <v/>
      </c>
      <c r="N11" s="3">
        <f>IF(COUNT(B11:K11)=0,"",MIN(B11:K11))</f>
        <v/>
      </c>
      <c r="O11">
        <f>COUNT(B11:K11)</f>
        <v/>
      </c>
      <c r="P11" s="3">
        <f>IF(COUNT(B11:K11)=0,"",INDEX(B11:K11,_xlfn.MAXIFS($B$2:$K$2,B11:K11,"&gt;=0")))</f>
        <v/>
      </c>
      <c r="Q11">
        <f>IF(COUNT(B11:K11)=0,"","W"&amp;INDEX($B$2:$K$2,MATCH(M11,B11:K11,0)))</f>
        <v/>
      </c>
      <c r="S11">
        <f>IF(ISNUMBER(L11),L11,-1)-ROW()/1000000</f>
        <v/>
      </c>
    </row>
    <row r="12">
      <c r="A12" s="5" t="inlineStr">
        <is>
          <t>Jim Wright</t>
        </is>
      </c>
      <c r="B12" s="3">
        <f>IFERROR(SUMIFS(Data!$E:$E,Data!$A:$A,B$2,Data!$D:$D,$A12)/SUMIFS(Data!$F:$F,Data!$A:$A,B$2,Data!$D:$D,$A12)*3,"")</f>
        <v/>
      </c>
      <c r="C12" s="3">
        <f>IFERROR(SUMIFS(Data!$E:$E,Data!$A:$A,C$2,Data!$D:$D,$A12)/SUMIFS(Data!$F:$F,Data!$A:$A,C$2,Data!$D:$D,$A12)*3,"")</f>
        <v/>
      </c>
      <c r="D12" s="3">
        <f>IFERROR(SUMIFS(Data!$E:$E,Data!$A:$A,D$2,Data!$D:$D,$A12)/SUMIFS(Data!$F:$F,Data!$A:$A,D$2,Data!$D:$D,$A12)*3,"")</f>
        <v/>
      </c>
      <c r="E12" s="3">
        <f>IFERROR(SUMIFS(Data!$E:$E,Data!$A:$A,E$2,Data!$D:$D,$A12)/SUMIFS(Data!$F:$F,Data!$A:$A,E$2,Data!$D:$D,$A12)*3,"")</f>
        <v/>
      </c>
      <c r="F12" s="3">
        <f>IFERROR(SUMIFS(Data!$E:$E,Data!$A:$A,F$2,Data!$D:$D,$A12)/SUMIFS(Data!$F:$F,Data!$A:$A,F$2,Data!$D:$D,$A12)*3,"")</f>
        <v/>
      </c>
      <c r="G12" s="3">
        <f>IFERROR(SUMIFS(Data!$E:$E,Data!$A:$A,G$2,Data!$D:$D,$A12)/SUMIFS(Data!$F:$F,Data!$A:$A,G$2,Data!$D:$D,$A12)*3,"")</f>
        <v/>
      </c>
      <c r="H12" s="3">
        <f>IFERROR(SUMIFS(Data!$E:$E,Data!$A:$A,H$2,Data!$D:$D,$A12)/SUMIFS(Data!$F:$F,Data!$A:$A,H$2,Data!$D:$D,$A12)*3,"")</f>
        <v/>
      </c>
      <c r="I12" s="3">
        <f>IFERROR(SUMIFS(Data!$E:$E,Data!$A:$A,I$2,Data!$D:$D,$A12)/SUMIFS(Data!$F:$F,Data!$A:$A,I$2,Data!$D:$D,$A12)*3,"")</f>
        <v/>
      </c>
      <c r="J12" s="3">
        <f>IFERROR(SUMIFS(Data!$E:$E,Data!$A:$A,J$2,Data!$D:$D,$A12)/SUMIFS(Data!$F:$F,Data!$A:$A,J$2,Data!$D:$D,$A12)*3,"")</f>
        <v/>
      </c>
      <c r="K12" s="3">
        <f>IFERROR(SUMIFS(Data!$E:$E,Data!$A:$A,K$2,Data!$D:$D,$A12)/SUMIFS(Data!$F:$F,Data!$A:$A,K$2,Data!$D:$D,$A12)*3,"")</f>
        <v/>
      </c>
      <c r="L12" s="3">
        <f>IFERROR(SUMIFS(Data!$E:$E,Data!$D:$D,$A12)/SUMIFS(Data!$F:$F,Data!$D:$D,$A12)*3,"")</f>
        <v/>
      </c>
      <c r="M12" s="3">
        <f>IF(COUNT(B12:K12)=0,"",MAX(B12:K12))</f>
        <v/>
      </c>
      <c r="N12" s="3">
        <f>IF(COUNT(B12:K12)=0,"",MIN(B12:K12))</f>
        <v/>
      </c>
      <c r="O12">
        <f>COUNT(B12:K12)</f>
        <v/>
      </c>
      <c r="P12" s="3">
        <f>IF(COUNT(B12:K12)=0,"",INDEX(B12:K12,_xlfn.MAXIFS($B$2:$K$2,B12:K12,"&gt;=0")))</f>
        <v/>
      </c>
      <c r="Q12">
        <f>IF(COUNT(B12:K12)=0,"","W"&amp;INDEX($B$2:$K$2,MATCH(M12,B12:K12,0)))</f>
        <v/>
      </c>
      <c r="S12">
        <f>IF(ISNUMBER(L12),L12,-1)-ROW()/1000000</f>
        <v/>
      </c>
    </row>
    <row r="13">
      <c r="A13" s="5" t="inlineStr">
        <is>
          <t>Dave Keppler</t>
        </is>
      </c>
      <c r="B13" s="3">
        <f>IFERROR(SUMIFS(Data!$E:$E,Data!$A:$A,B$2,Data!$D:$D,$A13)/SUMIFS(Data!$F:$F,Data!$A:$A,B$2,Data!$D:$D,$A13)*3,"")</f>
        <v/>
      </c>
      <c r="C13" s="3">
        <f>IFERROR(SUMIFS(Data!$E:$E,Data!$A:$A,C$2,Data!$D:$D,$A13)/SUMIFS(Data!$F:$F,Data!$A:$A,C$2,Data!$D:$D,$A13)*3,"")</f>
        <v/>
      </c>
      <c r="D13" s="3">
        <f>IFERROR(SUMIFS(Data!$E:$E,Data!$A:$A,D$2,Data!$D:$D,$A13)/SUMIFS(Data!$F:$F,Data!$A:$A,D$2,Data!$D:$D,$A13)*3,"")</f>
        <v/>
      </c>
      <c r="E13" s="3">
        <f>IFERROR(SUMIFS(Data!$E:$E,Data!$A:$A,E$2,Data!$D:$D,$A13)/SUMIFS(Data!$F:$F,Data!$A:$A,E$2,Data!$D:$D,$A13)*3,"")</f>
        <v/>
      </c>
      <c r="F13" s="3">
        <f>IFERROR(SUMIFS(Data!$E:$E,Data!$A:$A,F$2,Data!$D:$D,$A13)/SUMIFS(Data!$F:$F,Data!$A:$A,F$2,Data!$D:$D,$A13)*3,"")</f>
        <v/>
      </c>
      <c r="G13" s="3">
        <f>IFERROR(SUMIFS(Data!$E:$E,Data!$A:$A,G$2,Data!$D:$D,$A13)/SUMIFS(Data!$F:$F,Data!$A:$A,G$2,Data!$D:$D,$A13)*3,"")</f>
        <v/>
      </c>
      <c r="H13" s="3">
        <f>IFERROR(SUMIFS(Data!$E:$E,Data!$A:$A,H$2,Data!$D:$D,$A13)/SUMIFS(Data!$F:$F,Data!$A:$A,H$2,Data!$D:$D,$A13)*3,"")</f>
        <v/>
      </c>
      <c r="I13" s="3">
        <f>IFERROR(SUMIFS(Data!$E:$E,Data!$A:$A,I$2,Data!$D:$D,$A13)/SUMIFS(Data!$F:$F,Data!$A:$A,I$2,Data!$D:$D,$A13)*3,"")</f>
        <v/>
      </c>
      <c r="J13" s="3">
        <f>IFERROR(SUMIFS(Data!$E:$E,Data!$A:$A,J$2,Data!$D:$D,$A13)/SUMIFS(Data!$F:$F,Data!$A:$A,J$2,Data!$D:$D,$A13)*3,"")</f>
        <v/>
      </c>
      <c r="K13" s="3">
        <f>IFERROR(SUMIFS(Data!$E:$E,Data!$A:$A,K$2,Data!$D:$D,$A13)/SUMIFS(Data!$F:$F,Data!$A:$A,K$2,Data!$D:$D,$A13)*3,"")</f>
        <v/>
      </c>
      <c r="L13" s="3">
        <f>IFERROR(SUMIFS(Data!$E:$E,Data!$D:$D,$A13)/SUMIFS(Data!$F:$F,Data!$D:$D,$A13)*3,"")</f>
        <v/>
      </c>
      <c r="M13" s="3">
        <f>IF(COUNT(B13:K13)=0,"",MAX(B13:K13))</f>
        <v/>
      </c>
      <c r="N13" s="3">
        <f>IF(COUNT(B13:K13)=0,"",MIN(B13:K13))</f>
        <v/>
      </c>
      <c r="O13">
        <f>COUNT(B13:K13)</f>
        <v/>
      </c>
      <c r="P13" s="3">
        <f>IF(COUNT(B13:K13)=0,"",INDEX(B13:K13,_xlfn.MAXIFS($B$2:$K$2,B13:K13,"&gt;=0")))</f>
        <v/>
      </c>
      <c r="Q13">
        <f>IF(COUNT(B13:K13)=0,"","W"&amp;INDEX($B$2:$K$2,MATCH(M13,B13:K13,0)))</f>
        <v/>
      </c>
      <c r="S13">
        <f>IF(ISNUMBER(L13),L13,-1)-ROW()/1000000</f>
        <v/>
      </c>
    </row>
    <row r="14">
      <c r="A14" s="6" t="inlineStr">
        <is>
          <t>TEAM</t>
        </is>
      </c>
      <c r="B14" s="7">
        <f>IFERROR(SUMIFS(Data!$E:$E,Data!$A:$A,B$2)/SUMIFS(Data!$F:$F,Data!$A:$A,B$2)*3,"")</f>
        <v/>
      </c>
      <c r="C14" s="7">
        <f>IFERROR(SUMIFS(Data!$E:$E,Data!$A:$A,C$2)/SUMIFS(Data!$F:$F,Data!$A:$A,C$2)*3,"")</f>
        <v/>
      </c>
      <c r="D14" s="7">
        <f>IFERROR(SUMIFS(Data!$E:$E,Data!$A:$A,D$2)/SUMIFS(Data!$F:$F,Data!$A:$A,D$2)*3,"")</f>
        <v/>
      </c>
      <c r="E14" s="7">
        <f>IFERROR(SUMIFS(Data!$E:$E,Data!$A:$A,E$2)/SUMIFS(Data!$F:$F,Data!$A:$A,E$2)*3,"")</f>
        <v/>
      </c>
      <c r="F14" s="7">
        <f>IFERROR(SUMIFS(Data!$E:$E,Data!$A:$A,F$2)/SUMIFS(Data!$F:$F,Data!$A:$A,F$2)*3,"")</f>
        <v/>
      </c>
      <c r="G14" s="7">
        <f>IFERROR(SUMIFS(Data!$E:$E,Data!$A:$A,G$2)/SUMIFS(Data!$F:$F,Data!$A:$A,G$2)*3,"")</f>
        <v/>
      </c>
      <c r="H14" s="7">
        <f>IFERROR(SUMIFS(Data!$E:$E,Data!$A:$A,H$2)/SUMIFS(Data!$F:$F,Data!$A:$A,H$2)*3,"")</f>
        <v/>
      </c>
      <c r="I14" s="7">
        <f>IFERROR(SUMIFS(Data!$E:$E,Data!$A:$A,I$2)/SUMIFS(Data!$F:$F,Data!$A:$A,I$2)*3,"")</f>
        <v/>
      </c>
      <c r="J14" s="7">
        <f>IFERROR(SUMIFS(Data!$E:$E,Data!$A:$A,J$2)/SUMIFS(Data!$F:$F,Data!$A:$A,J$2)*3,"")</f>
        <v/>
      </c>
      <c r="K14" s="7">
        <f>IFERROR(SUMIFS(Data!$E:$E,Data!$A:$A,K$2)/SUMIFS(Data!$F:$F,Data!$A:$A,K$2)*3,"")</f>
        <v/>
      </c>
      <c r="L14" s="7">
        <f>IFERROR(SUM(Data!$E:$E)/SUM(Data!$F:$F)*3,"")</f>
        <v/>
      </c>
      <c r="M14" s="7">
        <f>IF(COUNT(B14:K14)=0,"",MAX(B14:K14))</f>
        <v/>
      </c>
      <c r="N14" s="7">
        <f>IF(COUNT(B14:K14)=0,"",MIN(B14:K14))</f>
        <v/>
      </c>
      <c r="O14" s="6">
        <f>COUNT(B14:K14)</f>
        <v/>
      </c>
      <c r="P14" s="7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PPD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3">
        <f>IFERROR(SUMIFS(Data!$E:$E,Data!$A:$A,B$2,Data!$D:$D,$A3)/SUMIFS(Data!$F:$F,Data!$A:$A,B$2,Data!$D:$D,$A3),"")</f>
        <v/>
      </c>
      <c r="C3" s="3">
        <f>IFERROR(SUMIFS(Data!$E:$E,Data!$A:$A,C$2,Data!$D:$D,$A3)/SUMIFS(Data!$F:$F,Data!$A:$A,C$2,Data!$D:$D,$A3),"")</f>
        <v/>
      </c>
      <c r="D3" s="3">
        <f>IFERROR(SUMIFS(Data!$E:$E,Data!$A:$A,D$2,Data!$D:$D,$A3)/SUMIFS(Data!$F:$F,Data!$A:$A,D$2,Data!$D:$D,$A3),"")</f>
        <v/>
      </c>
      <c r="E3" s="3">
        <f>IFERROR(SUMIFS(Data!$E:$E,Data!$A:$A,E$2,Data!$D:$D,$A3)/SUMIFS(Data!$F:$F,Data!$A:$A,E$2,Data!$D:$D,$A3),"")</f>
        <v/>
      </c>
      <c r="F3" s="3">
        <f>IFERROR(SUMIFS(Data!$E:$E,Data!$A:$A,F$2,Data!$D:$D,$A3)/SUMIFS(Data!$F:$F,Data!$A:$A,F$2,Data!$D:$D,$A3),"")</f>
        <v/>
      </c>
      <c r="G3" s="3">
        <f>IFERROR(SUMIFS(Data!$E:$E,Data!$A:$A,G$2,Data!$D:$D,$A3)/SUMIFS(Data!$F:$F,Data!$A:$A,G$2,Data!$D:$D,$A3),"")</f>
        <v/>
      </c>
      <c r="H3" s="3">
        <f>IFERROR(SUMIFS(Data!$E:$E,Data!$A:$A,H$2,Data!$D:$D,$A3)/SUMIFS(Data!$F:$F,Data!$A:$A,H$2,Data!$D:$D,$A3),"")</f>
        <v/>
      </c>
      <c r="I3" s="3">
        <f>IFERROR(SUMIFS(Data!$E:$E,Data!$A:$A,I$2,Data!$D:$D,$A3)/SUMIFS(Data!$F:$F,Data!$A:$A,I$2,Data!$D:$D,$A3),"")</f>
        <v/>
      </c>
      <c r="J3" s="3">
        <f>IFERROR(SUMIFS(Data!$E:$E,Data!$A:$A,J$2,Data!$D:$D,$A3)/SUMIFS(Data!$F:$F,Data!$A:$A,J$2,Data!$D:$D,$A3),"")</f>
        <v/>
      </c>
      <c r="K3" s="3">
        <f>IFERROR(SUMIFS(Data!$E:$E,Data!$A:$A,K$2,Data!$D:$D,$A3)/SUMIFS(Data!$F:$F,Data!$A:$A,K$2,Data!$D:$D,$A3),"")</f>
        <v/>
      </c>
      <c r="L3" s="3">
        <f>IFERROR(SUMIFS(Data!$E:$E,Data!$D:$D,$A3)/SUMIFS(Data!$F:$F,Data!$D:$D,$A3),"")</f>
        <v/>
      </c>
      <c r="M3" s="3">
        <f>IF(COUNT(B3:K3)=0,"",MAX(B3:K3))</f>
        <v/>
      </c>
      <c r="N3" s="3">
        <f>IF(COUNT(B3:K3)=0,"",MIN(B3:K3))</f>
        <v/>
      </c>
      <c r="O3">
        <f>COUNT(B3:K3)</f>
        <v/>
      </c>
      <c r="P3" s="3">
        <f>IF(COUNT(B3:K3)=0,"",INDEX(B3:K3,_xlfn.MAXIFS($B$2:$K$2,B3:K3,"&gt;=0")))</f>
        <v/>
      </c>
      <c r="Q3">
        <f>IF(COUNT(B3:K3)=0,"","W"&amp;INDEX($B$2:$K$2,MATCH(M3,B3:K3,0)))</f>
        <v/>
      </c>
    </row>
    <row r="4">
      <c r="A4" s="5" t="inlineStr">
        <is>
          <t>Jeff Broderick</t>
        </is>
      </c>
      <c r="B4" s="3">
        <f>IFERROR(SUMIFS(Data!$E:$E,Data!$A:$A,B$2,Data!$D:$D,$A4)/SUMIFS(Data!$F:$F,Data!$A:$A,B$2,Data!$D:$D,$A4),"")</f>
        <v/>
      </c>
      <c r="C4" s="3">
        <f>IFERROR(SUMIFS(Data!$E:$E,Data!$A:$A,C$2,Data!$D:$D,$A4)/SUMIFS(Data!$F:$F,Data!$A:$A,C$2,Data!$D:$D,$A4),"")</f>
        <v/>
      </c>
      <c r="D4" s="3">
        <f>IFERROR(SUMIFS(Data!$E:$E,Data!$A:$A,D$2,Data!$D:$D,$A4)/SUMIFS(Data!$F:$F,Data!$A:$A,D$2,Data!$D:$D,$A4),"")</f>
        <v/>
      </c>
      <c r="E4" s="3">
        <f>IFERROR(SUMIFS(Data!$E:$E,Data!$A:$A,E$2,Data!$D:$D,$A4)/SUMIFS(Data!$F:$F,Data!$A:$A,E$2,Data!$D:$D,$A4),"")</f>
        <v/>
      </c>
      <c r="F4" s="3">
        <f>IFERROR(SUMIFS(Data!$E:$E,Data!$A:$A,F$2,Data!$D:$D,$A4)/SUMIFS(Data!$F:$F,Data!$A:$A,F$2,Data!$D:$D,$A4),"")</f>
        <v/>
      </c>
      <c r="G4" s="3">
        <f>IFERROR(SUMIFS(Data!$E:$E,Data!$A:$A,G$2,Data!$D:$D,$A4)/SUMIFS(Data!$F:$F,Data!$A:$A,G$2,Data!$D:$D,$A4),"")</f>
        <v/>
      </c>
      <c r="H4" s="3">
        <f>IFERROR(SUMIFS(Data!$E:$E,Data!$A:$A,H$2,Data!$D:$D,$A4)/SUMIFS(Data!$F:$F,Data!$A:$A,H$2,Data!$D:$D,$A4),"")</f>
        <v/>
      </c>
      <c r="I4" s="3">
        <f>IFERROR(SUMIFS(Data!$E:$E,Data!$A:$A,I$2,Data!$D:$D,$A4)/SUMIFS(Data!$F:$F,Data!$A:$A,I$2,Data!$D:$D,$A4),"")</f>
        <v/>
      </c>
      <c r="J4" s="3">
        <f>IFERROR(SUMIFS(Data!$E:$E,Data!$A:$A,J$2,Data!$D:$D,$A4)/SUMIFS(Data!$F:$F,Data!$A:$A,J$2,Data!$D:$D,$A4),"")</f>
        <v/>
      </c>
      <c r="K4" s="3">
        <f>IFERROR(SUMIFS(Data!$E:$E,Data!$A:$A,K$2,Data!$D:$D,$A4)/SUMIFS(Data!$F:$F,Data!$A:$A,K$2,Data!$D:$D,$A4),"")</f>
        <v/>
      </c>
      <c r="L4" s="3">
        <f>IFERROR(SUMIFS(Data!$E:$E,Data!$D:$D,$A4)/SUMIFS(Data!$F:$F,Data!$D:$D,$A4),"")</f>
        <v/>
      </c>
      <c r="M4" s="3">
        <f>IF(COUNT(B4:K4)=0,"",MAX(B4:K4))</f>
        <v/>
      </c>
      <c r="N4" s="3">
        <f>IF(COUNT(B4:K4)=0,"",MIN(B4:K4))</f>
        <v/>
      </c>
      <c r="O4">
        <f>COUNT(B4:K4)</f>
        <v/>
      </c>
      <c r="P4" s="3">
        <f>IF(COUNT(B4:K4)=0,"",INDEX(B4:K4,_xlfn.MAXIFS($B$2:$K$2,B4:K4,"&gt;=0")))</f>
        <v/>
      </c>
      <c r="Q4">
        <f>IF(COUNT(B4:K4)=0,"","W"&amp;INDEX($B$2:$K$2,MATCH(M4,B4:K4,0)))</f>
        <v/>
      </c>
    </row>
    <row r="5">
      <c r="A5" s="5" t="inlineStr">
        <is>
          <t>Captain (Vince Clemins)</t>
        </is>
      </c>
      <c r="B5" s="3">
        <f>IFERROR(SUMIFS(Data!$E:$E,Data!$A:$A,B$2,Data!$D:$D,$A5)/SUMIFS(Data!$F:$F,Data!$A:$A,B$2,Data!$D:$D,$A5),"")</f>
        <v/>
      </c>
      <c r="C5" s="3">
        <f>IFERROR(SUMIFS(Data!$E:$E,Data!$A:$A,C$2,Data!$D:$D,$A5)/SUMIFS(Data!$F:$F,Data!$A:$A,C$2,Data!$D:$D,$A5),"")</f>
        <v/>
      </c>
      <c r="D5" s="3">
        <f>IFERROR(SUMIFS(Data!$E:$E,Data!$A:$A,D$2,Data!$D:$D,$A5)/SUMIFS(Data!$F:$F,Data!$A:$A,D$2,Data!$D:$D,$A5),"")</f>
        <v/>
      </c>
      <c r="E5" s="3">
        <f>IFERROR(SUMIFS(Data!$E:$E,Data!$A:$A,E$2,Data!$D:$D,$A5)/SUMIFS(Data!$F:$F,Data!$A:$A,E$2,Data!$D:$D,$A5),"")</f>
        <v/>
      </c>
      <c r="F5" s="3">
        <f>IFERROR(SUMIFS(Data!$E:$E,Data!$A:$A,F$2,Data!$D:$D,$A5)/SUMIFS(Data!$F:$F,Data!$A:$A,F$2,Data!$D:$D,$A5),"")</f>
        <v/>
      </c>
      <c r="G5" s="3">
        <f>IFERROR(SUMIFS(Data!$E:$E,Data!$A:$A,G$2,Data!$D:$D,$A5)/SUMIFS(Data!$F:$F,Data!$A:$A,G$2,Data!$D:$D,$A5),"")</f>
        <v/>
      </c>
      <c r="H5" s="3">
        <f>IFERROR(SUMIFS(Data!$E:$E,Data!$A:$A,H$2,Data!$D:$D,$A5)/SUMIFS(Data!$F:$F,Data!$A:$A,H$2,Data!$D:$D,$A5),"")</f>
        <v/>
      </c>
      <c r="I5" s="3">
        <f>IFERROR(SUMIFS(Data!$E:$E,Data!$A:$A,I$2,Data!$D:$D,$A5)/SUMIFS(Data!$F:$F,Data!$A:$A,I$2,Data!$D:$D,$A5),"")</f>
        <v/>
      </c>
      <c r="J5" s="3">
        <f>IFERROR(SUMIFS(Data!$E:$E,Data!$A:$A,J$2,Data!$D:$D,$A5)/SUMIFS(Data!$F:$F,Data!$A:$A,J$2,Data!$D:$D,$A5),"")</f>
        <v/>
      </c>
      <c r="K5" s="3">
        <f>IFERROR(SUMIFS(Data!$E:$E,Data!$A:$A,K$2,Data!$D:$D,$A5)/SUMIFS(Data!$F:$F,Data!$A:$A,K$2,Data!$D:$D,$A5),"")</f>
        <v/>
      </c>
      <c r="L5" s="3">
        <f>IFERROR(SUMIFS(Data!$E:$E,Data!$D:$D,$A5)/SUMIFS(Data!$F:$F,Data!$D:$D,$A5),"")</f>
        <v/>
      </c>
      <c r="M5" s="3">
        <f>IF(COUNT(B5:K5)=0,"",MAX(B5:K5))</f>
        <v/>
      </c>
      <c r="N5" s="3">
        <f>IF(COUNT(B5:K5)=0,"",MIN(B5:K5))</f>
        <v/>
      </c>
      <c r="O5">
        <f>COUNT(B5:K5)</f>
        <v/>
      </c>
      <c r="P5" s="3">
        <f>IF(COUNT(B5:K5)=0,"",INDEX(B5:K5,_xlfn.MAXIFS($B$2:$K$2,B5:K5,"&gt;=0")))</f>
        <v/>
      </c>
      <c r="Q5">
        <f>IF(COUNT(B5:K5)=0,"","W"&amp;INDEX($B$2:$K$2,MATCH(M5,B5:K5,0)))</f>
        <v/>
      </c>
    </row>
    <row r="6">
      <c r="A6" s="5" t="inlineStr">
        <is>
          <t>Al Fromenko</t>
        </is>
      </c>
      <c r="B6" s="3">
        <f>IFERROR(SUMIFS(Data!$E:$E,Data!$A:$A,B$2,Data!$D:$D,$A6)/SUMIFS(Data!$F:$F,Data!$A:$A,B$2,Data!$D:$D,$A6),"")</f>
        <v/>
      </c>
      <c r="C6" s="3">
        <f>IFERROR(SUMIFS(Data!$E:$E,Data!$A:$A,C$2,Data!$D:$D,$A6)/SUMIFS(Data!$F:$F,Data!$A:$A,C$2,Data!$D:$D,$A6),"")</f>
        <v/>
      </c>
      <c r="D6" s="3">
        <f>IFERROR(SUMIFS(Data!$E:$E,Data!$A:$A,D$2,Data!$D:$D,$A6)/SUMIFS(Data!$F:$F,Data!$A:$A,D$2,Data!$D:$D,$A6),"")</f>
        <v/>
      </c>
      <c r="E6" s="3">
        <f>IFERROR(SUMIFS(Data!$E:$E,Data!$A:$A,E$2,Data!$D:$D,$A6)/SUMIFS(Data!$F:$F,Data!$A:$A,E$2,Data!$D:$D,$A6),"")</f>
        <v/>
      </c>
      <c r="F6" s="3">
        <f>IFERROR(SUMIFS(Data!$E:$E,Data!$A:$A,F$2,Data!$D:$D,$A6)/SUMIFS(Data!$F:$F,Data!$A:$A,F$2,Data!$D:$D,$A6),"")</f>
        <v/>
      </c>
      <c r="G6" s="3">
        <f>IFERROR(SUMIFS(Data!$E:$E,Data!$A:$A,G$2,Data!$D:$D,$A6)/SUMIFS(Data!$F:$F,Data!$A:$A,G$2,Data!$D:$D,$A6),"")</f>
        <v/>
      </c>
      <c r="H6" s="3">
        <f>IFERROR(SUMIFS(Data!$E:$E,Data!$A:$A,H$2,Data!$D:$D,$A6)/SUMIFS(Data!$F:$F,Data!$A:$A,H$2,Data!$D:$D,$A6),"")</f>
        <v/>
      </c>
      <c r="I6" s="3">
        <f>IFERROR(SUMIFS(Data!$E:$E,Data!$A:$A,I$2,Data!$D:$D,$A6)/SUMIFS(Data!$F:$F,Data!$A:$A,I$2,Data!$D:$D,$A6),"")</f>
        <v/>
      </c>
      <c r="J6" s="3">
        <f>IFERROR(SUMIFS(Data!$E:$E,Data!$A:$A,J$2,Data!$D:$D,$A6)/SUMIFS(Data!$F:$F,Data!$A:$A,J$2,Data!$D:$D,$A6),"")</f>
        <v/>
      </c>
      <c r="K6" s="3">
        <f>IFERROR(SUMIFS(Data!$E:$E,Data!$A:$A,K$2,Data!$D:$D,$A6)/SUMIFS(Data!$F:$F,Data!$A:$A,K$2,Data!$D:$D,$A6),"")</f>
        <v/>
      </c>
      <c r="L6" s="3">
        <f>IFERROR(SUMIFS(Data!$E:$E,Data!$D:$D,$A6)/SUMIFS(Data!$F:$F,Data!$D:$D,$A6),"")</f>
        <v/>
      </c>
      <c r="M6" s="3">
        <f>IF(COUNT(B6:K6)=0,"",MAX(B6:K6))</f>
        <v/>
      </c>
      <c r="N6" s="3">
        <f>IF(COUNT(B6:K6)=0,"",MIN(B6:K6))</f>
        <v/>
      </c>
      <c r="O6">
        <f>COUNT(B6:K6)</f>
        <v/>
      </c>
      <c r="P6" s="3">
        <f>IF(COUNT(B6:K6)=0,"",INDEX(B6:K6,_xlfn.MAXIFS($B$2:$K$2,B6:K6,"&gt;=0")))</f>
        <v/>
      </c>
      <c r="Q6">
        <f>IF(COUNT(B6:K6)=0,"","W"&amp;INDEX($B$2:$K$2,MATCH(M6,B6:K6,0)))</f>
        <v/>
      </c>
    </row>
    <row r="7">
      <c r="A7" s="5" t="inlineStr">
        <is>
          <t>Bill Prelle</t>
        </is>
      </c>
      <c r="B7" s="3">
        <f>IFERROR(SUMIFS(Data!$E:$E,Data!$A:$A,B$2,Data!$D:$D,$A7)/SUMIFS(Data!$F:$F,Data!$A:$A,B$2,Data!$D:$D,$A7),"")</f>
        <v/>
      </c>
      <c r="C7" s="3">
        <f>IFERROR(SUMIFS(Data!$E:$E,Data!$A:$A,C$2,Data!$D:$D,$A7)/SUMIFS(Data!$F:$F,Data!$A:$A,C$2,Data!$D:$D,$A7),"")</f>
        <v/>
      </c>
      <c r="D7" s="3">
        <f>IFERROR(SUMIFS(Data!$E:$E,Data!$A:$A,D$2,Data!$D:$D,$A7)/SUMIFS(Data!$F:$F,Data!$A:$A,D$2,Data!$D:$D,$A7),"")</f>
        <v/>
      </c>
      <c r="E7" s="3">
        <f>IFERROR(SUMIFS(Data!$E:$E,Data!$A:$A,E$2,Data!$D:$D,$A7)/SUMIFS(Data!$F:$F,Data!$A:$A,E$2,Data!$D:$D,$A7),"")</f>
        <v/>
      </c>
      <c r="F7" s="3">
        <f>IFERROR(SUMIFS(Data!$E:$E,Data!$A:$A,F$2,Data!$D:$D,$A7)/SUMIFS(Data!$F:$F,Data!$A:$A,F$2,Data!$D:$D,$A7),"")</f>
        <v/>
      </c>
      <c r="G7" s="3">
        <f>IFERROR(SUMIFS(Data!$E:$E,Data!$A:$A,G$2,Data!$D:$D,$A7)/SUMIFS(Data!$F:$F,Data!$A:$A,G$2,Data!$D:$D,$A7),"")</f>
        <v/>
      </c>
      <c r="H7" s="3">
        <f>IFERROR(SUMIFS(Data!$E:$E,Data!$A:$A,H$2,Data!$D:$D,$A7)/SUMIFS(Data!$F:$F,Data!$A:$A,H$2,Data!$D:$D,$A7),"")</f>
        <v/>
      </c>
      <c r="I7" s="3">
        <f>IFERROR(SUMIFS(Data!$E:$E,Data!$A:$A,I$2,Data!$D:$D,$A7)/SUMIFS(Data!$F:$F,Data!$A:$A,I$2,Data!$D:$D,$A7),"")</f>
        <v/>
      </c>
      <c r="J7" s="3">
        <f>IFERROR(SUMIFS(Data!$E:$E,Data!$A:$A,J$2,Data!$D:$D,$A7)/SUMIFS(Data!$F:$F,Data!$A:$A,J$2,Data!$D:$D,$A7),"")</f>
        <v/>
      </c>
      <c r="K7" s="3">
        <f>IFERROR(SUMIFS(Data!$E:$E,Data!$A:$A,K$2,Data!$D:$D,$A7)/SUMIFS(Data!$F:$F,Data!$A:$A,K$2,Data!$D:$D,$A7),"")</f>
        <v/>
      </c>
      <c r="L7" s="3">
        <f>IFERROR(SUMIFS(Data!$E:$E,Data!$D:$D,$A7)/SUMIFS(Data!$F:$F,Data!$D:$D,$A7),"")</f>
        <v/>
      </c>
      <c r="M7" s="3">
        <f>IF(COUNT(B7:K7)=0,"",MAX(B7:K7))</f>
        <v/>
      </c>
      <c r="N7" s="3">
        <f>IF(COUNT(B7:K7)=0,"",MIN(B7:K7))</f>
        <v/>
      </c>
      <c r="O7">
        <f>COUNT(B7:K7)</f>
        <v/>
      </c>
      <c r="P7" s="3">
        <f>IF(COUNT(B7:K7)=0,"",INDEX(B7:K7,_xlfn.MAXIFS($B$2:$K$2,B7:K7,"&gt;=0")))</f>
        <v/>
      </c>
      <c r="Q7">
        <f>IF(COUNT(B7:K7)=0,"","W"&amp;INDEX($B$2:$K$2,MATCH(M7,B7:K7,0)))</f>
        <v/>
      </c>
    </row>
    <row r="8">
      <c r="A8" s="5" t="inlineStr">
        <is>
          <t>Keith McCarthy</t>
        </is>
      </c>
      <c r="B8" s="3">
        <f>IFERROR(SUMIFS(Data!$E:$E,Data!$A:$A,B$2,Data!$D:$D,$A8)/SUMIFS(Data!$F:$F,Data!$A:$A,B$2,Data!$D:$D,$A8),"")</f>
        <v/>
      </c>
      <c r="C8" s="3">
        <f>IFERROR(SUMIFS(Data!$E:$E,Data!$A:$A,C$2,Data!$D:$D,$A8)/SUMIFS(Data!$F:$F,Data!$A:$A,C$2,Data!$D:$D,$A8),"")</f>
        <v/>
      </c>
      <c r="D8" s="3">
        <f>IFERROR(SUMIFS(Data!$E:$E,Data!$A:$A,D$2,Data!$D:$D,$A8)/SUMIFS(Data!$F:$F,Data!$A:$A,D$2,Data!$D:$D,$A8),"")</f>
        <v/>
      </c>
      <c r="E8" s="3">
        <f>IFERROR(SUMIFS(Data!$E:$E,Data!$A:$A,E$2,Data!$D:$D,$A8)/SUMIFS(Data!$F:$F,Data!$A:$A,E$2,Data!$D:$D,$A8),"")</f>
        <v/>
      </c>
      <c r="F8" s="3">
        <f>IFERROR(SUMIFS(Data!$E:$E,Data!$A:$A,F$2,Data!$D:$D,$A8)/SUMIFS(Data!$F:$F,Data!$A:$A,F$2,Data!$D:$D,$A8),"")</f>
        <v/>
      </c>
      <c r="G8" s="3">
        <f>IFERROR(SUMIFS(Data!$E:$E,Data!$A:$A,G$2,Data!$D:$D,$A8)/SUMIFS(Data!$F:$F,Data!$A:$A,G$2,Data!$D:$D,$A8),"")</f>
        <v/>
      </c>
      <c r="H8" s="3">
        <f>IFERROR(SUMIFS(Data!$E:$E,Data!$A:$A,H$2,Data!$D:$D,$A8)/SUMIFS(Data!$F:$F,Data!$A:$A,H$2,Data!$D:$D,$A8),"")</f>
        <v/>
      </c>
      <c r="I8" s="3">
        <f>IFERROR(SUMIFS(Data!$E:$E,Data!$A:$A,I$2,Data!$D:$D,$A8)/SUMIFS(Data!$F:$F,Data!$A:$A,I$2,Data!$D:$D,$A8),"")</f>
        <v/>
      </c>
      <c r="J8" s="3">
        <f>IFERROR(SUMIFS(Data!$E:$E,Data!$A:$A,J$2,Data!$D:$D,$A8)/SUMIFS(Data!$F:$F,Data!$A:$A,J$2,Data!$D:$D,$A8),"")</f>
        <v/>
      </c>
      <c r="K8" s="3">
        <f>IFERROR(SUMIFS(Data!$E:$E,Data!$A:$A,K$2,Data!$D:$D,$A8)/SUMIFS(Data!$F:$F,Data!$A:$A,K$2,Data!$D:$D,$A8),"")</f>
        <v/>
      </c>
      <c r="L8" s="3">
        <f>IFERROR(SUMIFS(Data!$E:$E,Data!$D:$D,$A8)/SUMIFS(Data!$F:$F,Data!$D:$D,$A8),"")</f>
        <v/>
      </c>
      <c r="M8" s="3">
        <f>IF(COUNT(B8:K8)=0,"",MAX(B8:K8))</f>
        <v/>
      </c>
      <c r="N8" s="3">
        <f>IF(COUNT(B8:K8)=0,"",MIN(B8:K8))</f>
        <v/>
      </c>
      <c r="O8">
        <f>COUNT(B8:K8)</f>
        <v/>
      </c>
      <c r="P8" s="3">
        <f>IF(COUNT(B8:K8)=0,"",INDEX(B8:K8,_xlfn.MAXIFS($B$2:$K$2,B8:K8,"&gt;=0")))</f>
        <v/>
      </c>
      <c r="Q8">
        <f>IF(COUNT(B8:K8)=0,"","W"&amp;INDEX($B$2:$K$2,MATCH(M8,B8:K8,0)))</f>
        <v/>
      </c>
    </row>
    <row r="9">
      <c r="A9" s="5" t="inlineStr">
        <is>
          <t>Tom Davis</t>
        </is>
      </c>
      <c r="B9" s="3">
        <f>IFERROR(SUMIFS(Data!$E:$E,Data!$A:$A,B$2,Data!$D:$D,$A9)/SUMIFS(Data!$F:$F,Data!$A:$A,B$2,Data!$D:$D,$A9),"")</f>
        <v/>
      </c>
      <c r="C9" s="3">
        <f>IFERROR(SUMIFS(Data!$E:$E,Data!$A:$A,C$2,Data!$D:$D,$A9)/SUMIFS(Data!$F:$F,Data!$A:$A,C$2,Data!$D:$D,$A9),"")</f>
        <v/>
      </c>
      <c r="D9" s="3">
        <f>IFERROR(SUMIFS(Data!$E:$E,Data!$A:$A,D$2,Data!$D:$D,$A9)/SUMIFS(Data!$F:$F,Data!$A:$A,D$2,Data!$D:$D,$A9),"")</f>
        <v/>
      </c>
      <c r="E9" s="3">
        <f>IFERROR(SUMIFS(Data!$E:$E,Data!$A:$A,E$2,Data!$D:$D,$A9)/SUMIFS(Data!$F:$F,Data!$A:$A,E$2,Data!$D:$D,$A9),"")</f>
        <v/>
      </c>
      <c r="F9" s="3">
        <f>IFERROR(SUMIFS(Data!$E:$E,Data!$A:$A,F$2,Data!$D:$D,$A9)/SUMIFS(Data!$F:$F,Data!$A:$A,F$2,Data!$D:$D,$A9),"")</f>
        <v/>
      </c>
      <c r="G9" s="3">
        <f>IFERROR(SUMIFS(Data!$E:$E,Data!$A:$A,G$2,Data!$D:$D,$A9)/SUMIFS(Data!$F:$F,Data!$A:$A,G$2,Data!$D:$D,$A9),"")</f>
        <v/>
      </c>
      <c r="H9" s="3">
        <f>IFERROR(SUMIFS(Data!$E:$E,Data!$A:$A,H$2,Data!$D:$D,$A9)/SUMIFS(Data!$F:$F,Data!$A:$A,H$2,Data!$D:$D,$A9),"")</f>
        <v/>
      </c>
      <c r="I9" s="3">
        <f>IFERROR(SUMIFS(Data!$E:$E,Data!$A:$A,I$2,Data!$D:$D,$A9)/SUMIFS(Data!$F:$F,Data!$A:$A,I$2,Data!$D:$D,$A9),"")</f>
        <v/>
      </c>
      <c r="J9" s="3">
        <f>IFERROR(SUMIFS(Data!$E:$E,Data!$A:$A,J$2,Data!$D:$D,$A9)/SUMIFS(Data!$F:$F,Data!$A:$A,J$2,Data!$D:$D,$A9),"")</f>
        <v/>
      </c>
      <c r="K9" s="3">
        <f>IFERROR(SUMIFS(Data!$E:$E,Data!$A:$A,K$2,Data!$D:$D,$A9)/SUMIFS(Data!$F:$F,Data!$A:$A,K$2,Data!$D:$D,$A9),"")</f>
        <v/>
      </c>
      <c r="L9" s="3">
        <f>IFERROR(SUMIFS(Data!$E:$E,Data!$D:$D,$A9)/SUMIFS(Data!$F:$F,Data!$D:$D,$A9),"")</f>
        <v/>
      </c>
      <c r="M9" s="3">
        <f>IF(COUNT(B9:K9)=0,"",MAX(B9:K9))</f>
        <v/>
      </c>
      <c r="N9" s="3">
        <f>IF(COUNT(B9:K9)=0,"",MIN(B9:K9))</f>
        <v/>
      </c>
      <c r="O9">
        <f>COUNT(B9:K9)</f>
        <v/>
      </c>
      <c r="P9" s="3">
        <f>IF(COUNT(B9:K9)=0,"",INDEX(B9:K9,_xlfn.MAXIFS($B$2:$K$2,B9:K9,"&gt;=0")))</f>
        <v/>
      </c>
      <c r="Q9">
        <f>IF(COUNT(B9:K9)=0,"","W"&amp;INDEX($B$2:$K$2,MATCH(M9,B9:K9,0)))</f>
        <v/>
      </c>
    </row>
    <row r="10">
      <c r="A10" s="5" t="inlineStr">
        <is>
          <t>John Klemick</t>
        </is>
      </c>
      <c r="B10" s="3">
        <f>IFERROR(SUMIFS(Data!$E:$E,Data!$A:$A,B$2,Data!$D:$D,$A10)/SUMIFS(Data!$F:$F,Data!$A:$A,B$2,Data!$D:$D,$A10),"")</f>
        <v/>
      </c>
      <c r="C10" s="3">
        <f>IFERROR(SUMIFS(Data!$E:$E,Data!$A:$A,C$2,Data!$D:$D,$A10)/SUMIFS(Data!$F:$F,Data!$A:$A,C$2,Data!$D:$D,$A10),"")</f>
        <v/>
      </c>
      <c r="D10" s="3">
        <f>IFERROR(SUMIFS(Data!$E:$E,Data!$A:$A,D$2,Data!$D:$D,$A10)/SUMIFS(Data!$F:$F,Data!$A:$A,D$2,Data!$D:$D,$A10),"")</f>
        <v/>
      </c>
      <c r="E10" s="3">
        <f>IFERROR(SUMIFS(Data!$E:$E,Data!$A:$A,E$2,Data!$D:$D,$A10)/SUMIFS(Data!$F:$F,Data!$A:$A,E$2,Data!$D:$D,$A10),"")</f>
        <v/>
      </c>
      <c r="F10" s="3">
        <f>IFERROR(SUMIFS(Data!$E:$E,Data!$A:$A,F$2,Data!$D:$D,$A10)/SUMIFS(Data!$F:$F,Data!$A:$A,F$2,Data!$D:$D,$A10),"")</f>
        <v/>
      </c>
      <c r="G10" s="3">
        <f>IFERROR(SUMIFS(Data!$E:$E,Data!$A:$A,G$2,Data!$D:$D,$A10)/SUMIFS(Data!$F:$F,Data!$A:$A,G$2,Data!$D:$D,$A10),"")</f>
        <v/>
      </c>
      <c r="H10" s="3">
        <f>IFERROR(SUMIFS(Data!$E:$E,Data!$A:$A,H$2,Data!$D:$D,$A10)/SUMIFS(Data!$F:$F,Data!$A:$A,H$2,Data!$D:$D,$A10),"")</f>
        <v/>
      </c>
      <c r="I10" s="3">
        <f>IFERROR(SUMIFS(Data!$E:$E,Data!$A:$A,I$2,Data!$D:$D,$A10)/SUMIFS(Data!$F:$F,Data!$A:$A,I$2,Data!$D:$D,$A10),"")</f>
        <v/>
      </c>
      <c r="J10" s="3">
        <f>IFERROR(SUMIFS(Data!$E:$E,Data!$A:$A,J$2,Data!$D:$D,$A10)/SUMIFS(Data!$F:$F,Data!$A:$A,J$2,Data!$D:$D,$A10),"")</f>
        <v/>
      </c>
      <c r="K10" s="3">
        <f>IFERROR(SUMIFS(Data!$E:$E,Data!$A:$A,K$2,Data!$D:$D,$A10)/SUMIFS(Data!$F:$F,Data!$A:$A,K$2,Data!$D:$D,$A10),"")</f>
        <v/>
      </c>
      <c r="L10" s="3">
        <f>IFERROR(SUMIFS(Data!$E:$E,Data!$D:$D,$A10)/SUMIFS(Data!$F:$F,Data!$D:$D,$A10),"")</f>
        <v/>
      </c>
      <c r="M10" s="3">
        <f>IF(COUNT(B10:K10)=0,"",MAX(B10:K10))</f>
        <v/>
      </c>
      <c r="N10" s="3">
        <f>IF(COUNT(B10:K10)=0,"",MIN(B10:K10))</f>
        <v/>
      </c>
      <c r="O10">
        <f>COUNT(B10:K10)</f>
        <v/>
      </c>
      <c r="P10" s="3">
        <f>IF(COUNT(B10:K10)=0,"",INDEX(B10:K10,_xlfn.MAXIFS($B$2:$K$2,B10:K10,"&gt;=0")))</f>
        <v/>
      </c>
      <c r="Q10">
        <f>IF(COUNT(B10:K10)=0,"","W"&amp;INDEX($B$2:$K$2,MATCH(M10,B10:K10,0)))</f>
        <v/>
      </c>
    </row>
    <row r="11">
      <c r="A11" s="5" t="inlineStr">
        <is>
          <t>Frank Gillespie</t>
        </is>
      </c>
      <c r="B11" s="3">
        <f>IFERROR(SUMIFS(Data!$E:$E,Data!$A:$A,B$2,Data!$D:$D,$A11)/SUMIFS(Data!$F:$F,Data!$A:$A,B$2,Data!$D:$D,$A11),"")</f>
        <v/>
      </c>
      <c r="C11" s="3">
        <f>IFERROR(SUMIFS(Data!$E:$E,Data!$A:$A,C$2,Data!$D:$D,$A11)/SUMIFS(Data!$F:$F,Data!$A:$A,C$2,Data!$D:$D,$A11),"")</f>
        <v/>
      </c>
      <c r="D11" s="3">
        <f>IFERROR(SUMIFS(Data!$E:$E,Data!$A:$A,D$2,Data!$D:$D,$A11)/SUMIFS(Data!$F:$F,Data!$A:$A,D$2,Data!$D:$D,$A11),"")</f>
        <v/>
      </c>
      <c r="E11" s="3">
        <f>IFERROR(SUMIFS(Data!$E:$E,Data!$A:$A,E$2,Data!$D:$D,$A11)/SUMIFS(Data!$F:$F,Data!$A:$A,E$2,Data!$D:$D,$A11),"")</f>
        <v/>
      </c>
      <c r="F11" s="3">
        <f>IFERROR(SUMIFS(Data!$E:$E,Data!$A:$A,F$2,Data!$D:$D,$A11)/SUMIFS(Data!$F:$F,Data!$A:$A,F$2,Data!$D:$D,$A11),"")</f>
        <v/>
      </c>
      <c r="G11" s="3">
        <f>IFERROR(SUMIFS(Data!$E:$E,Data!$A:$A,G$2,Data!$D:$D,$A11)/SUMIFS(Data!$F:$F,Data!$A:$A,G$2,Data!$D:$D,$A11),"")</f>
        <v/>
      </c>
      <c r="H11" s="3">
        <f>IFERROR(SUMIFS(Data!$E:$E,Data!$A:$A,H$2,Data!$D:$D,$A11)/SUMIFS(Data!$F:$F,Data!$A:$A,H$2,Data!$D:$D,$A11),"")</f>
        <v/>
      </c>
      <c r="I11" s="3">
        <f>IFERROR(SUMIFS(Data!$E:$E,Data!$A:$A,I$2,Data!$D:$D,$A11)/SUMIFS(Data!$F:$F,Data!$A:$A,I$2,Data!$D:$D,$A11),"")</f>
        <v/>
      </c>
      <c r="J11" s="3">
        <f>IFERROR(SUMIFS(Data!$E:$E,Data!$A:$A,J$2,Data!$D:$D,$A11)/SUMIFS(Data!$F:$F,Data!$A:$A,J$2,Data!$D:$D,$A11),"")</f>
        <v/>
      </c>
      <c r="K11" s="3">
        <f>IFERROR(SUMIFS(Data!$E:$E,Data!$A:$A,K$2,Data!$D:$D,$A11)/SUMIFS(Data!$F:$F,Data!$A:$A,K$2,Data!$D:$D,$A11),"")</f>
        <v/>
      </c>
      <c r="L11" s="3">
        <f>IFERROR(SUMIFS(Data!$E:$E,Data!$D:$D,$A11)/SUMIFS(Data!$F:$F,Data!$D:$D,$A11),"")</f>
        <v/>
      </c>
      <c r="M11" s="3">
        <f>IF(COUNT(B11:K11)=0,"",MAX(B11:K11))</f>
        <v/>
      </c>
      <c r="N11" s="3">
        <f>IF(COUNT(B11:K11)=0,"",MIN(B11:K11))</f>
        <v/>
      </c>
      <c r="O11">
        <f>COUNT(B11:K11)</f>
        <v/>
      </c>
      <c r="P11" s="3">
        <f>IF(COUNT(B11:K11)=0,"",INDEX(B11:K11,_xlfn.MAXIFS($B$2:$K$2,B11:K11,"&gt;=0")))</f>
        <v/>
      </c>
      <c r="Q11">
        <f>IF(COUNT(B11:K11)=0,"","W"&amp;INDEX($B$2:$K$2,MATCH(M11,B11:K11,0)))</f>
        <v/>
      </c>
    </row>
    <row r="12">
      <c r="A12" s="5" t="inlineStr">
        <is>
          <t>Jim Wright</t>
        </is>
      </c>
      <c r="B12" s="3">
        <f>IFERROR(SUMIFS(Data!$E:$E,Data!$A:$A,B$2,Data!$D:$D,$A12)/SUMIFS(Data!$F:$F,Data!$A:$A,B$2,Data!$D:$D,$A12),"")</f>
        <v/>
      </c>
      <c r="C12" s="3">
        <f>IFERROR(SUMIFS(Data!$E:$E,Data!$A:$A,C$2,Data!$D:$D,$A12)/SUMIFS(Data!$F:$F,Data!$A:$A,C$2,Data!$D:$D,$A12),"")</f>
        <v/>
      </c>
      <c r="D12" s="3">
        <f>IFERROR(SUMIFS(Data!$E:$E,Data!$A:$A,D$2,Data!$D:$D,$A12)/SUMIFS(Data!$F:$F,Data!$A:$A,D$2,Data!$D:$D,$A12),"")</f>
        <v/>
      </c>
      <c r="E12" s="3">
        <f>IFERROR(SUMIFS(Data!$E:$E,Data!$A:$A,E$2,Data!$D:$D,$A12)/SUMIFS(Data!$F:$F,Data!$A:$A,E$2,Data!$D:$D,$A12),"")</f>
        <v/>
      </c>
      <c r="F12" s="3">
        <f>IFERROR(SUMIFS(Data!$E:$E,Data!$A:$A,F$2,Data!$D:$D,$A12)/SUMIFS(Data!$F:$F,Data!$A:$A,F$2,Data!$D:$D,$A12),"")</f>
        <v/>
      </c>
      <c r="G12" s="3">
        <f>IFERROR(SUMIFS(Data!$E:$E,Data!$A:$A,G$2,Data!$D:$D,$A12)/SUMIFS(Data!$F:$F,Data!$A:$A,G$2,Data!$D:$D,$A12),"")</f>
        <v/>
      </c>
      <c r="H12" s="3">
        <f>IFERROR(SUMIFS(Data!$E:$E,Data!$A:$A,H$2,Data!$D:$D,$A12)/SUMIFS(Data!$F:$F,Data!$A:$A,H$2,Data!$D:$D,$A12),"")</f>
        <v/>
      </c>
      <c r="I12" s="3">
        <f>IFERROR(SUMIFS(Data!$E:$E,Data!$A:$A,I$2,Data!$D:$D,$A12)/SUMIFS(Data!$F:$F,Data!$A:$A,I$2,Data!$D:$D,$A12),"")</f>
        <v/>
      </c>
      <c r="J12" s="3">
        <f>IFERROR(SUMIFS(Data!$E:$E,Data!$A:$A,J$2,Data!$D:$D,$A12)/SUMIFS(Data!$F:$F,Data!$A:$A,J$2,Data!$D:$D,$A12),"")</f>
        <v/>
      </c>
      <c r="K12" s="3">
        <f>IFERROR(SUMIFS(Data!$E:$E,Data!$A:$A,K$2,Data!$D:$D,$A12)/SUMIFS(Data!$F:$F,Data!$A:$A,K$2,Data!$D:$D,$A12),"")</f>
        <v/>
      </c>
      <c r="L12" s="3">
        <f>IFERROR(SUMIFS(Data!$E:$E,Data!$D:$D,$A12)/SUMIFS(Data!$F:$F,Data!$D:$D,$A12),"")</f>
        <v/>
      </c>
      <c r="M12" s="3">
        <f>IF(COUNT(B12:K12)=0,"",MAX(B12:K12))</f>
        <v/>
      </c>
      <c r="N12" s="3">
        <f>IF(COUNT(B12:K12)=0,"",MIN(B12:K12))</f>
        <v/>
      </c>
      <c r="O12">
        <f>COUNT(B12:K12)</f>
        <v/>
      </c>
      <c r="P12" s="3">
        <f>IF(COUNT(B12:K12)=0,"",INDEX(B12:K12,_xlfn.MAXIFS($B$2:$K$2,B12:K12,"&gt;=0")))</f>
        <v/>
      </c>
      <c r="Q12">
        <f>IF(COUNT(B12:K12)=0,"","W"&amp;INDEX($B$2:$K$2,MATCH(M12,B12:K12,0)))</f>
        <v/>
      </c>
    </row>
    <row r="13">
      <c r="A13" s="5" t="inlineStr">
        <is>
          <t>Dave Keppler</t>
        </is>
      </c>
      <c r="B13" s="3">
        <f>IFERROR(SUMIFS(Data!$E:$E,Data!$A:$A,B$2,Data!$D:$D,$A13)/SUMIFS(Data!$F:$F,Data!$A:$A,B$2,Data!$D:$D,$A13),"")</f>
        <v/>
      </c>
      <c r="C13" s="3">
        <f>IFERROR(SUMIFS(Data!$E:$E,Data!$A:$A,C$2,Data!$D:$D,$A13)/SUMIFS(Data!$F:$F,Data!$A:$A,C$2,Data!$D:$D,$A13),"")</f>
        <v/>
      </c>
      <c r="D13" s="3">
        <f>IFERROR(SUMIFS(Data!$E:$E,Data!$A:$A,D$2,Data!$D:$D,$A13)/SUMIFS(Data!$F:$F,Data!$A:$A,D$2,Data!$D:$D,$A13),"")</f>
        <v/>
      </c>
      <c r="E13" s="3">
        <f>IFERROR(SUMIFS(Data!$E:$E,Data!$A:$A,E$2,Data!$D:$D,$A13)/SUMIFS(Data!$F:$F,Data!$A:$A,E$2,Data!$D:$D,$A13),"")</f>
        <v/>
      </c>
      <c r="F13" s="3">
        <f>IFERROR(SUMIFS(Data!$E:$E,Data!$A:$A,F$2,Data!$D:$D,$A13)/SUMIFS(Data!$F:$F,Data!$A:$A,F$2,Data!$D:$D,$A13),"")</f>
        <v/>
      </c>
      <c r="G13" s="3">
        <f>IFERROR(SUMIFS(Data!$E:$E,Data!$A:$A,G$2,Data!$D:$D,$A13)/SUMIFS(Data!$F:$F,Data!$A:$A,G$2,Data!$D:$D,$A13),"")</f>
        <v/>
      </c>
      <c r="H13" s="3">
        <f>IFERROR(SUMIFS(Data!$E:$E,Data!$A:$A,H$2,Data!$D:$D,$A13)/SUMIFS(Data!$F:$F,Data!$A:$A,H$2,Data!$D:$D,$A13),"")</f>
        <v/>
      </c>
      <c r="I13" s="3">
        <f>IFERROR(SUMIFS(Data!$E:$E,Data!$A:$A,I$2,Data!$D:$D,$A13)/SUMIFS(Data!$F:$F,Data!$A:$A,I$2,Data!$D:$D,$A13),"")</f>
        <v/>
      </c>
      <c r="J13" s="3">
        <f>IFERROR(SUMIFS(Data!$E:$E,Data!$A:$A,J$2,Data!$D:$D,$A13)/SUMIFS(Data!$F:$F,Data!$A:$A,J$2,Data!$D:$D,$A13),"")</f>
        <v/>
      </c>
      <c r="K13" s="3">
        <f>IFERROR(SUMIFS(Data!$E:$E,Data!$A:$A,K$2,Data!$D:$D,$A13)/SUMIFS(Data!$F:$F,Data!$A:$A,K$2,Data!$D:$D,$A13),"")</f>
        <v/>
      </c>
      <c r="L13" s="3">
        <f>IFERROR(SUMIFS(Data!$E:$E,Data!$D:$D,$A13)/SUMIFS(Data!$F:$F,Data!$D:$D,$A13),"")</f>
        <v/>
      </c>
      <c r="M13" s="3">
        <f>IF(COUNT(B13:K13)=0,"",MAX(B13:K13))</f>
        <v/>
      </c>
      <c r="N13" s="3">
        <f>IF(COUNT(B13:K13)=0,"",MIN(B13:K13))</f>
        <v/>
      </c>
      <c r="O13">
        <f>COUNT(B13:K13)</f>
        <v/>
      </c>
      <c r="P13" s="3">
        <f>IF(COUNT(B13:K13)=0,"",INDEX(B13:K13,_xlfn.MAXIFS($B$2:$K$2,B13:K13,"&gt;=0")))</f>
        <v/>
      </c>
      <c r="Q13">
        <f>IF(COUNT(B13:K13)=0,"","W"&amp;INDEX($B$2:$K$2,MATCH(M13,B13:K13,0)))</f>
        <v/>
      </c>
    </row>
    <row r="14">
      <c r="A14" s="6" t="inlineStr">
        <is>
          <t>TEAM</t>
        </is>
      </c>
      <c r="B14" s="7">
        <f>IFERROR(SUMIFS(Data!$E:$E,Data!$A:$A,B$2)/SUMIFS(Data!$F:$F,Data!$A:$A,B$2),"")</f>
        <v/>
      </c>
      <c r="C14" s="7">
        <f>IFERROR(SUMIFS(Data!$E:$E,Data!$A:$A,C$2)/SUMIFS(Data!$F:$F,Data!$A:$A,C$2),"")</f>
        <v/>
      </c>
      <c r="D14" s="7">
        <f>IFERROR(SUMIFS(Data!$E:$E,Data!$A:$A,D$2)/SUMIFS(Data!$F:$F,Data!$A:$A,D$2),"")</f>
        <v/>
      </c>
      <c r="E14" s="7">
        <f>IFERROR(SUMIFS(Data!$E:$E,Data!$A:$A,E$2)/SUMIFS(Data!$F:$F,Data!$A:$A,E$2),"")</f>
        <v/>
      </c>
      <c r="F14" s="7">
        <f>IFERROR(SUMIFS(Data!$E:$E,Data!$A:$A,F$2)/SUMIFS(Data!$F:$F,Data!$A:$A,F$2),"")</f>
        <v/>
      </c>
      <c r="G14" s="7">
        <f>IFERROR(SUMIFS(Data!$E:$E,Data!$A:$A,G$2)/SUMIFS(Data!$F:$F,Data!$A:$A,G$2),"")</f>
        <v/>
      </c>
      <c r="H14" s="7">
        <f>IFERROR(SUMIFS(Data!$E:$E,Data!$A:$A,H$2)/SUMIFS(Data!$F:$F,Data!$A:$A,H$2),"")</f>
        <v/>
      </c>
      <c r="I14" s="7">
        <f>IFERROR(SUMIFS(Data!$E:$E,Data!$A:$A,I$2)/SUMIFS(Data!$F:$F,Data!$A:$A,I$2),"")</f>
        <v/>
      </c>
      <c r="J14" s="7">
        <f>IFERROR(SUMIFS(Data!$E:$E,Data!$A:$A,J$2)/SUMIFS(Data!$F:$F,Data!$A:$A,J$2),"")</f>
        <v/>
      </c>
      <c r="K14" s="7">
        <f>IFERROR(SUMIFS(Data!$E:$E,Data!$A:$A,K$2)/SUMIFS(Data!$F:$F,Data!$A:$A,K$2),"")</f>
        <v/>
      </c>
      <c r="L14" s="7">
        <f>IFERROR(SUM(Data!$E:$E)/SUM(Data!$F:$F),"")</f>
        <v/>
      </c>
      <c r="M14" s="7">
        <f>IF(COUNT(B14:K14)=0,"",MAX(B14:K14))</f>
        <v/>
      </c>
      <c r="N14" s="7">
        <f>IF(COUNT(B14:K14)=0,"",MIN(B14:K14))</f>
        <v/>
      </c>
      <c r="O14" s="6">
        <f>COUNT(B14:K14)</f>
        <v/>
      </c>
      <c r="P14" s="7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C3" s="8">
        <f>IF(NOT(ISNUMBER('3DA by Week'!C3)),"",IF(_xlfn.MAXIFS('3DA by Week'!$B$2:B$2,'3DA by Week'!$B3:B3,"&gt;=0")=0,"",'3DA by Week'!C3/INDEX('3DA by Week'!$B3:$K3,_xlfn.MAXIFS('3DA by Week'!$B$2:B$2,'3DA by Week'!$B3:B3,"&gt;=0"))-1))</f>
        <v/>
      </c>
      <c r="D3" s="8">
        <f>IF(NOT(ISNUMBER('3DA by Week'!D3)),"",IF(_xlfn.MAXIFS('3DA by Week'!$B$2:C$2,'3DA by Week'!$B3:C3,"&gt;=0")=0,"",'3DA by Week'!D3/INDEX('3DA by Week'!$B3:$K3,_xlfn.MAXIFS('3DA by Week'!$B$2:C$2,'3DA by Week'!$B3:C3,"&gt;=0"))-1))</f>
        <v/>
      </c>
      <c r="E3" s="8">
        <f>IF(NOT(ISNUMBER('3DA by Week'!E3)),"",IF(_xlfn.MAXIFS('3DA by Week'!$B$2:D$2,'3DA by Week'!$B3:D3,"&gt;=0")=0,"",'3DA by Week'!E3/INDEX('3DA by Week'!$B3:$K3,_xlfn.MAXIFS('3DA by Week'!$B$2:D$2,'3DA by Week'!$B3:D3,"&gt;=0"))-1))</f>
        <v/>
      </c>
      <c r="F3" s="8">
        <f>IF(NOT(ISNUMBER('3DA by Week'!F3)),"",IF(_xlfn.MAXIFS('3DA by Week'!$B$2:E$2,'3DA by Week'!$B3:E3,"&gt;=0")=0,"",'3DA by Week'!F3/INDEX('3DA by Week'!$B3:$K3,_xlfn.MAXIFS('3DA by Week'!$B$2:E$2,'3DA by Week'!$B3:E3,"&gt;=0"))-1))</f>
        <v/>
      </c>
      <c r="G3" s="8">
        <f>IF(NOT(ISNUMBER('3DA by Week'!G3)),"",IF(_xlfn.MAXIFS('3DA by Week'!$B$2:F$2,'3DA by Week'!$B3:F3,"&gt;=0")=0,"",'3DA by Week'!G3/INDEX('3DA by Week'!$B3:$K3,_xlfn.MAXIFS('3DA by Week'!$B$2:F$2,'3DA by Week'!$B3:F3,"&gt;=0"))-1))</f>
        <v/>
      </c>
      <c r="H3" s="8">
        <f>IF(NOT(ISNUMBER('3DA by Week'!H3)),"",IF(_xlfn.MAXIFS('3DA by Week'!$B$2:G$2,'3DA by Week'!$B3:G3,"&gt;=0")=0,"",'3DA by Week'!H3/INDEX('3DA by Week'!$B3:$K3,_xlfn.MAXIFS('3DA by Week'!$B$2:G$2,'3DA by Week'!$B3:G3,"&gt;=0"))-1))</f>
        <v/>
      </c>
      <c r="I3" s="8">
        <f>IF(NOT(ISNUMBER('3DA by Week'!I3)),"",IF(_xlfn.MAXIFS('3DA by Week'!$B$2:H$2,'3DA by Week'!$B3:H3,"&gt;=0")=0,"",'3DA by Week'!I3/INDEX('3DA by Week'!$B3:$K3,_xlfn.MAXIFS('3DA by Week'!$B$2:H$2,'3DA by Week'!$B3:H3,"&gt;=0"))-1))</f>
        <v/>
      </c>
      <c r="J3" s="8">
        <f>IF(NOT(ISNUMBER('3DA by Week'!J3)),"",IF(_xlfn.MAXIFS('3DA by Week'!$B$2:I$2,'3DA by Week'!$B3:I3,"&gt;=0")=0,"",'3DA by Week'!J3/INDEX('3DA by Week'!$B3:$K3,_xlfn.MAXIFS('3DA by Week'!$B$2:I$2,'3DA by Week'!$B3:I3,"&gt;=0"))-1))</f>
        <v/>
      </c>
      <c r="K3" s="8">
        <f>IF(NOT(ISNUMBER('3DA by Week'!K3)),"",IF(_xlfn.MAXIFS('3DA by Week'!$B$2:J$2,'3DA by Week'!$B3:J3,"&gt;=0")=0,"",'3DA by Week'!K3/INDEX('3DA by Week'!$B3:$K3,_xlfn.MAXIFS('3DA by Week'!$B$2:J$2,'3DA by Week'!$B3:J3,"&gt;=0"))-1))</f>
        <v/>
      </c>
    </row>
    <row r="4">
      <c r="A4" s="5" t="inlineStr">
        <is>
          <t>Jeff Broderick</t>
        </is>
      </c>
      <c r="C4" s="8">
        <f>IF(NOT(ISNUMBER('3DA by Week'!C4)),"",IF(_xlfn.MAXIFS('3DA by Week'!$B$2:B$2,'3DA by Week'!$B4:B4,"&gt;=0")=0,"",'3DA by Week'!C4/INDEX('3DA by Week'!$B4:$K4,_xlfn.MAXIFS('3DA by Week'!$B$2:B$2,'3DA by Week'!$B4:B4,"&gt;=0"))-1))</f>
        <v/>
      </c>
      <c r="D4" s="8">
        <f>IF(NOT(ISNUMBER('3DA by Week'!D4)),"",IF(_xlfn.MAXIFS('3DA by Week'!$B$2:C$2,'3DA by Week'!$B4:C4,"&gt;=0")=0,"",'3DA by Week'!D4/INDEX('3DA by Week'!$B4:$K4,_xlfn.MAXIFS('3DA by Week'!$B$2:C$2,'3DA by Week'!$B4:C4,"&gt;=0"))-1))</f>
        <v/>
      </c>
      <c r="E4" s="8">
        <f>IF(NOT(ISNUMBER('3DA by Week'!E4)),"",IF(_xlfn.MAXIFS('3DA by Week'!$B$2:D$2,'3DA by Week'!$B4:D4,"&gt;=0")=0,"",'3DA by Week'!E4/INDEX('3DA by Week'!$B4:$K4,_xlfn.MAXIFS('3DA by Week'!$B$2:D$2,'3DA by Week'!$B4:D4,"&gt;=0"))-1))</f>
        <v/>
      </c>
      <c r="F4" s="8">
        <f>IF(NOT(ISNUMBER('3DA by Week'!F4)),"",IF(_xlfn.MAXIFS('3DA by Week'!$B$2:E$2,'3DA by Week'!$B4:E4,"&gt;=0")=0,"",'3DA by Week'!F4/INDEX('3DA by Week'!$B4:$K4,_xlfn.MAXIFS('3DA by Week'!$B$2:E$2,'3DA by Week'!$B4:E4,"&gt;=0"))-1))</f>
        <v/>
      </c>
      <c r="G4" s="8">
        <f>IF(NOT(ISNUMBER('3DA by Week'!G4)),"",IF(_xlfn.MAXIFS('3DA by Week'!$B$2:F$2,'3DA by Week'!$B4:F4,"&gt;=0")=0,"",'3DA by Week'!G4/INDEX('3DA by Week'!$B4:$K4,_xlfn.MAXIFS('3DA by Week'!$B$2:F$2,'3DA by Week'!$B4:F4,"&gt;=0"))-1))</f>
        <v/>
      </c>
      <c r="H4" s="8">
        <f>IF(NOT(ISNUMBER('3DA by Week'!H4)),"",IF(_xlfn.MAXIFS('3DA by Week'!$B$2:G$2,'3DA by Week'!$B4:G4,"&gt;=0")=0,"",'3DA by Week'!H4/INDEX('3DA by Week'!$B4:$K4,_xlfn.MAXIFS('3DA by Week'!$B$2:G$2,'3DA by Week'!$B4:G4,"&gt;=0"))-1))</f>
        <v/>
      </c>
      <c r="I4" s="8">
        <f>IF(NOT(ISNUMBER('3DA by Week'!I4)),"",IF(_xlfn.MAXIFS('3DA by Week'!$B$2:H$2,'3DA by Week'!$B4:H4,"&gt;=0")=0,"",'3DA by Week'!I4/INDEX('3DA by Week'!$B4:$K4,_xlfn.MAXIFS('3DA by Week'!$B$2:H$2,'3DA by Week'!$B4:H4,"&gt;=0"))-1))</f>
        <v/>
      </c>
      <c r="J4" s="8">
        <f>IF(NOT(ISNUMBER('3DA by Week'!J4)),"",IF(_xlfn.MAXIFS('3DA by Week'!$B$2:I$2,'3DA by Week'!$B4:I4,"&gt;=0")=0,"",'3DA by Week'!J4/INDEX('3DA by Week'!$B4:$K4,_xlfn.MAXIFS('3DA by Week'!$B$2:I$2,'3DA by Week'!$B4:I4,"&gt;=0"))-1))</f>
        <v/>
      </c>
      <c r="K4" s="8">
        <f>IF(NOT(ISNUMBER('3DA by Week'!K4)),"",IF(_xlfn.MAXIFS('3DA by Week'!$B$2:J$2,'3DA by Week'!$B4:J4,"&gt;=0")=0,"",'3DA by Week'!K4/INDEX('3DA by Week'!$B4:$K4,_xlfn.MAXIFS('3DA by Week'!$B$2:J$2,'3DA by Week'!$B4:J4,"&gt;=0"))-1))</f>
        <v/>
      </c>
    </row>
    <row r="5">
      <c r="A5" s="5" t="inlineStr">
        <is>
          <t>Captain (Vince Clemins)</t>
        </is>
      </c>
      <c r="C5" s="8">
        <f>IF(NOT(ISNUMBER('3DA by Week'!C5)),"",IF(_xlfn.MAXIFS('3DA by Week'!$B$2:B$2,'3DA by Week'!$B5:B5,"&gt;=0")=0,"",'3DA by Week'!C5/INDEX('3DA by Week'!$B5:$K5,_xlfn.MAXIFS('3DA by Week'!$B$2:B$2,'3DA by Week'!$B5:B5,"&gt;=0"))-1))</f>
        <v/>
      </c>
      <c r="D5" s="8">
        <f>IF(NOT(ISNUMBER('3DA by Week'!D5)),"",IF(_xlfn.MAXIFS('3DA by Week'!$B$2:C$2,'3DA by Week'!$B5:C5,"&gt;=0")=0,"",'3DA by Week'!D5/INDEX('3DA by Week'!$B5:$K5,_xlfn.MAXIFS('3DA by Week'!$B$2:C$2,'3DA by Week'!$B5:C5,"&gt;=0"))-1))</f>
        <v/>
      </c>
      <c r="E5" s="8">
        <f>IF(NOT(ISNUMBER('3DA by Week'!E5)),"",IF(_xlfn.MAXIFS('3DA by Week'!$B$2:D$2,'3DA by Week'!$B5:D5,"&gt;=0")=0,"",'3DA by Week'!E5/INDEX('3DA by Week'!$B5:$K5,_xlfn.MAXIFS('3DA by Week'!$B$2:D$2,'3DA by Week'!$B5:D5,"&gt;=0"))-1))</f>
        <v/>
      </c>
      <c r="F5" s="8">
        <f>IF(NOT(ISNUMBER('3DA by Week'!F5)),"",IF(_xlfn.MAXIFS('3DA by Week'!$B$2:E$2,'3DA by Week'!$B5:E5,"&gt;=0")=0,"",'3DA by Week'!F5/INDEX('3DA by Week'!$B5:$K5,_xlfn.MAXIFS('3DA by Week'!$B$2:E$2,'3DA by Week'!$B5:E5,"&gt;=0"))-1))</f>
        <v/>
      </c>
      <c r="G5" s="8">
        <f>IF(NOT(ISNUMBER('3DA by Week'!G5)),"",IF(_xlfn.MAXIFS('3DA by Week'!$B$2:F$2,'3DA by Week'!$B5:F5,"&gt;=0")=0,"",'3DA by Week'!G5/INDEX('3DA by Week'!$B5:$K5,_xlfn.MAXIFS('3DA by Week'!$B$2:F$2,'3DA by Week'!$B5:F5,"&gt;=0"))-1))</f>
        <v/>
      </c>
      <c r="H5" s="8">
        <f>IF(NOT(ISNUMBER('3DA by Week'!H5)),"",IF(_xlfn.MAXIFS('3DA by Week'!$B$2:G$2,'3DA by Week'!$B5:G5,"&gt;=0")=0,"",'3DA by Week'!H5/INDEX('3DA by Week'!$B5:$K5,_xlfn.MAXIFS('3DA by Week'!$B$2:G$2,'3DA by Week'!$B5:G5,"&gt;=0"))-1))</f>
        <v/>
      </c>
      <c r="I5" s="8">
        <f>IF(NOT(ISNUMBER('3DA by Week'!I5)),"",IF(_xlfn.MAXIFS('3DA by Week'!$B$2:H$2,'3DA by Week'!$B5:H5,"&gt;=0")=0,"",'3DA by Week'!I5/INDEX('3DA by Week'!$B5:$K5,_xlfn.MAXIFS('3DA by Week'!$B$2:H$2,'3DA by Week'!$B5:H5,"&gt;=0"))-1))</f>
        <v/>
      </c>
      <c r="J5" s="8">
        <f>IF(NOT(ISNUMBER('3DA by Week'!J5)),"",IF(_xlfn.MAXIFS('3DA by Week'!$B$2:I$2,'3DA by Week'!$B5:I5,"&gt;=0")=0,"",'3DA by Week'!J5/INDEX('3DA by Week'!$B5:$K5,_xlfn.MAXIFS('3DA by Week'!$B$2:I$2,'3DA by Week'!$B5:I5,"&gt;=0"))-1))</f>
        <v/>
      </c>
      <c r="K5" s="8">
        <f>IF(NOT(ISNUMBER('3DA by Week'!K5)),"",IF(_xlfn.MAXIFS('3DA by Week'!$B$2:J$2,'3DA by Week'!$B5:J5,"&gt;=0")=0,"",'3DA by Week'!K5/INDEX('3DA by Week'!$B5:$K5,_xlfn.MAXIFS('3DA by Week'!$B$2:J$2,'3DA by Week'!$B5:J5,"&gt;=0"))-1))</f>
        <v/>
      </c>
    </row>
    <row r="6">
      <c r="A6" s="5" t="inlineStr">
        <is>
          <t>Al Fromenko</t>
        </is>
      </c>
      <c r="C6" s="8">
        <f>IF(NOT(ISNUMBER('3DA by Week'!C6)),"",IF(_xlfn.MAXIFS('3DA by Week'!$B$2:B$2,'3DA by Week'!$B6:B6,"&gt;=0")=0,"",'3DA by Week'!C6/INDEX('3DA by Week'!$B6:$K6,_xlfn.MAXIFS('3DA by Week'!$B$2:B$2,'3DA by Week'!$B6:B6,"&gt;=0"))-1))</f>
        <v/>
      </c>
      <c r="D6" s="8">
        <f>IF(NOT(ISNUMBER('3DA by Week'!D6)),"",IF(_xlfn.MAXIFS('3DA by Week'!$B$2:C$2,'3DA by Week'!$B6:C6,"&gt;=0")=0,"",'3DA by Week'!D6/INDEX('3DA by Week'!$B6:$K6,_xlfn.MAXIFS('3DA by Week'!$B$2:C$2,'3DA by Week'!$B6:C6,"&gt;=0"))-1))</f>
        <v/>
      </c>
      <c r="E6" s="8">
        <f>IF(NOT(ISNUMBER('3DA by Week'!E6)),"",IF(_xlfn.MAXIFS('3DA by Week'!$B$2:D$2,'3DA by Week'!$B6:D6,"&gt;=0")=0,"",'3DA by Week'!E6/INDEX('3DA by Week'!$B6:$K6,_xlfn.MAXIFS('3DA by Week'!$B$2:D$2,'3DA by Week'!$B6:D6,"&gt;=0"))-1))</f>
        <v/>
      </c>
      <c r="F6" s="8">
        <f>IF(NOT(ISNUMBER('3DA by Week'!F6)),"",IF(_xlfn.MAXIFS('3DA by Week'!$B$2:E$2,'3DA by Week'!$B6:E6,"&gt;=0")=0,"",'3DA by Week'!F6/INDEX('3DA by Week'!$B6:$K6,_xlfn.MAXIFS('3DA by Week'!$B$2:E$2,'3DA by Week'!$B6:E6,"&gt;=0"))-1))</f>
        <v/>
      </c>
      <c r="G6" s="8">
        <f>IF(NOT(ISNUMBER('3DA by Week'!G6)),"",IF(_xlfn.MAXIFS('3DA by Week'!$B$2:F$2,'3DA by Week'!$B6:F6,"&gt;=0")=0,"",'3DA by Week'!G6/INDEX('3DA by Week'!$B6:$K6,_xlfn.MAXIFS('3DA by Week'!$B$2:F$2,'3DA by Week'!$B6:F6,"&gt;=0"))-1))</f>
        <v/>
      </c>
      <c r="H6" s="8">
        <f>IF(NOT(ISNUMBER('3DA by Week'!H6)),"",IF(_xlfn.MAXIFS('3DA by Week'!$B$2:G$2,'3DA by Week'!$B6:G6,"&gt;=0")=0,"",'3DA by Week'!H6/INDEX('3DA by Week'!$B6:$K6,_xlfn.MAXIFS('3DA by Week'!$B$2:G$2,'3DA by Week'!$B6:G6,"&gt;=0"))-1))</f>
        <v/>
      </c>
      <c r="I6" s="8">
        <f>IF(NOT(ISNUMBER('3DA by Week'!I6)),"",IF(_xlfn.MAXIFS('3DA by Week'!$B$2:H$2,'3DA by Week'!$B6:H6,"&gt;=0")=0,"",'3DA by Week'!I6/INDEX('3DA by Week'!$B6:$K6,_xlfn.MAXIFS('3DA by Week'!$B$2:H$2,'3DA by Week'!$B6:H6,"&gt;=0"))-1))</f>
        <v/>
      </c>
      <c r="J6" s="8">
        <f>IF(NOT(ISNUMBER('3DA by Week'!J6)),"",IF(_xlfn.MAXIFS('3DA by Week'!$B$2:I$2,'3DA by Week'!$B6:I6,"&gt;=0")=0,"",'3DA by Week'!J6/INDEX('3DA by Week'!$B6:$K6,_xlfn.MAXIFS('3DA by Week'!$B$2:I$2,'3DA by Week'!$B6:I6,"&gt;=0"))-1))</f>
        <v/>
      </c>
      <c r="K6" s="8">
        <f>IF(NOT(ISNUMBER('3DA by Week'!K6)),"",IF(_xlfn.MAXIFS('3DA by Week'!$B$2:J$2,'3DA by Week'!$B6:J6,"&gt;=0")=0,"",'3DA by Week'!K6/INDEX('3DA by Week'!$B6:$K6,_xlfn.MAXIFS('3DA by Week'!$B$2:J$2,'3DA by Week'!$B6:J6,"&gt;=0"))-1))</f>
        <v/>
      </c>
    </row>
    <row r="7">
      <c r="A7" s="5" t="inlineStr">
        <is>
          <t>Bill Prelle</t>
        </is>
      </c>
      <c r="C7" s="8">
        <f>IF(NOT(ISNUMBER('3DA by Week'!C7)),"",IF(_xlfn.MAXIFS('3DA by Week'!$B$2:B$2,'3DA by Week'!$B7:B7,"&gt;=0")=0,"",'3DA by Week'!C7/INDEX('3DA by Week'!$B7:$K7,_xlfn.MAXIFS('3DA by Week'!$B$2:B$2,'3DA by Week'!$B7:B7,"&gt;=0"))-1))</f>
        <v/>
      </c>
      <c r="D7" s="8">
        <f>IF(NOT(ISNUMBER('3DA by Week'!D7)),"",IF(_xlfn.MAXIFS('3DA by Week'!$B$2:C$2,'3DA by Week'!$B7:C7,"&gt;=0")=0,"",'3DA by Week'!D7/INDEX('3DA by Week'!$B7:$K7,_xlfn.MAXIFS('3DA by Week'!$B$2:C$2,'3DA by Week'!$B7:C7,"&gt;=0"))-1))</f>
        <v/>
      </c>
      <c r="E7" s="8">
        <f>IF(NOT(ISNUMBER('3DA by Week'!E7)),"",IF(_xlfn.MAXIFS('3DA by Week'!$B$2:D$2,'3DA by Week'!$B7:D7,"&gt;=0")=0,"",'3DA by Week'!E7/INDEX('3DA by Week'!$B7:$K7,_xlfn.MAXIFS('3DA by Week'!$B$2:D$2,'3DA by Week'!$B7:D7,"&gt;=0"))-1))</f>
        <v/>
      </c>
      <c r="F7" s="8">
        <f>IF(NOT(ISNUMBER('3DA by Week'!F7)),"",IF(_xlfn.MAXIFS('3DA by Week'!$B$2:E$2,'3DA by Week'!$B7:E7,"&gt;=0")=0,"",'3DA by Week'!F7/INDEX('3DA by Week'!$B7:$K7,_xlfn.MAXIFS('3DA by Week'!$B$2:E$2,'3DA by Week'!$B7:E7,"&gt;=0"))-1))</f>
        <v/>
      </c>
      <c r="G7" s="8">
        <f>IF(NOT(ISNUMBER('3DA by Week'!G7)),"",IF(_xlfn.MAXIFS('3DA by Week'!$B$2:F$2,'3DA by Week'!$B7:F7,"&gt;=0")=0,"",'3DA by Week'!G7/INDEX('3DA by Week'!$B7:$K7,_xlfn.MAXIFS('3DA by Week'!$B$2:F$2,'3DA by Week'!$B7:F7,"&gt;=0"))-1))</f>
        <v/>
      </c>
      <c r="H7" s="8">
        <f>IF(NOT(ISNUMBER('3DA by Week'!H7)),"",IF(_xlfn.MAXIFS('3DA by Week'!$B$2:G$2,'3DA by Week'!$B7:G7,"&gt;=0")=0,"",'3DA by Week'!H7/INDEX('3DA by Week'!$B7:$K7,_xlfn.MAXIFS('3DA by Week'!$B$2:G$2,'3DA by Week'!$B7:G7,"&gt;=0"))-1))</f>
        <v/>
      </c>
      <c r="I7" s="8">
        <f>IF(NOT(ISNUMBER('3DA by Week'!I7)),"",IF(_xlfn.MAXIFS('3DA by Week'!$B$2:H$2,'3DA by Week'!$B7:H7,"&gt;=0")=0,"",'3DA by Week'!I7/INDEX('3DA by Week'!$B7:$K7,_xlfn.MAXIFS('3DA by Week'!$B$2:H$2,'3DA by Week'!$B7:H7,"&gt;=0"))-1))</f>
        <v/>
      </c>
      <c r="J7" s="8">
        <f>IF(NOT(ISNUMBER('3DA by Week'!J7)),"",IF(_xlfn.MAXIFS('3DA by Week'!$B$2:I$2,'3DA by Week'!$B7:I7,"&gt;=0")=0,"",'3DA by Week'!J7/INDEX('3DA by Week'!$B7:$K7,_xlfn.MAXIFS('3DA by Week'!$B$2:I$2,'3DA by Week'!$B7:I7,"&gt;=0"))-1))</f>
        <v/>
      </c>
      <c r="K7" s="8">
        <f>IF(NOT(ISNUMBER('3DA by Week'!K7)),"",IF(_xlfn.MAXIFS('3DA by Week'!$B$2:J$2,'3DA by Week'!$B7:J7,"&gt;=0")=0,"",'3DA by Week'!K7/INDEX('3DA by Week'!$B7:$K7,_xlfn.MAXIFS('3DA by Week'!$B$2:J$2,'3DA by Week'!$B7:J7,"&gt;=0"))-1))</f>
        <v/>
      </c>
    </row>
    <row r="8">
      <c r="A8" s="5" t="inlineStr">
        <is>
          <t>Keith McCarthy</t>
        </is>
      </c>
      <c r="C8" s="8">
        <f>IF(NOT(ISNUMBER('3DA by Week'!C8)),"",IF(_xlfn.MAXIFS('3DA by Week'!$B$2:B$2,'3DA by Week'!$B8:B8,"&gt;=0")=0,"",'3DA by Week'!C8/INDEX('3DA by Week'!$B8:$K8,_xlfn.MAXIFS('3DA by Week'!$B$2:B$2,'3DA by Week'!$B8:B8,"&gt;=0"))-1))</f>
        <v/>
      </c>
      <c r="D8" s="8">
        <f>IF(NOT(ISNUMBER('3DA by Week'!D8)),"",IF(_xlfn.MAXIFS('3DA by Week'!$B$2:C$2,'3DA by Week'!$B8:C8,"&gt;=0")=0,"",'3DA by Week'!D8/INDEX('3DA by Week'!$B8:$K8,_xlfn.MAXIFS('3DA by Week'!$B$2:C$2,'3DA by Week'!$B8:C8,"&gt;=0"))-1))</f>
        <v/>
      </c>
      <c r="E8" s="8">
        <f>IF(NOT(ISNUMBER('3DA by Week'!E8)),"",IF(_xlfn.MAXIFS('3DA by Week'!$B$2:D$2,'3DA by Week'!$B8:D8,"&gt;=0")=0,"",'3DA by Week'!E8/INDEX('3DA by Week'!$B8:$K8,_xlfn.MAXIFS('3DA by Week'!$B$2:D$2,'3DA by Week'!$B8:D8,"&gt;=0"))-1))</f>
        <v/>
      </c>
      <c r="F8" s="8">
        <f>IF(NOT(ISNUMBER('3DA by Week'!F8)),"",IF(_xlfn.MAXIFS('3DA by Week'!$B$2:E$2,'3DA by Week'!$B8:E8,"&gt;=0")=0,"",'3DA by Week'!F8/INDEX('3DA by Week'!$B8:$K8,_xlfn.MAXIFS('3DA by Week'!$B$2:E$2,'3DA by Week'!$B8:E8,"&gt;=0"))-1))</f>
        <v/>
      </c>
      <c r="G8" s="8">
        <f>IF(NOT(ISNUMBER('3DA by Week'!G8)),"",IF(_xlfn.MAXIFS('3DA by Week'!$B$2:F$2,'3DA by Week'!$B8:F8,"&gt;=0")=0,"",'3DA by Week'!G8/INDEX('3DA by Week'!$B8:$K8,_xlfn.MAXIFS('3DA by Week'!$B$2:F$2,'3DA by Week'!$B8:F8,"&gt;=0"))-1))</f>
        <v/>
      </c>
      <c r="H8" s="8">
        <f>IF(NOT(ISNUMBER('3DA by Week'!H8)),"",IF(_xlfn.MAXIFS('3DA by Week'!$B$2:G$2,'3DA by Week'!$B8:G8,"&gt;=0")=0,"",'3DA by Week'!H8/INDEX('3DA by Week'!$B8:$K8,_xlfn.MAXIFS('3DA by Week'!$B$2:G$2,'3DA by Week'!$B8:G8,"&gt;=0"))-1))</f>
        <v/>
      </c>
      <c r="I8" s="8">
        <f>IF(NOT(ISNUMBER('3DA by Week'!I8)),"",IF(_xlfn.MAXIFS('3DA by Week'!$B$2:H$2,'3DA by Week'!$B8:H8,"&gt;=0")=0,"",'3DA by Week'!I8/INDEX('3DA by Week'!$B8:$K8,_xlfn.MAXIFS('3DA by Week'!$B$2:H$2,'3DA by Week'!$B8:H8,"&gt;=0"))-1))</f>
        <v/>
      </c>
      <c r="J8" s="8">
        <f>IF(NOT(ISNUMBER('3DA by Week'!J8)),"",IF(_xlfn.MAXIFS('3DA by Week'!$B$2:I$2,'3DA by Week'!$B8:I8,"&gt;=0")=0,"",'3DA by Week'!J8/INDEX('3DA by Week'!$B8:$K8,_xlfn.MAXIFS('3DA by Week'!$B$2:I$2,'3DA by Week'!$B8:I8,"&gt;=0"))-1))</f>
        <v/>
      </c>
      <c r="K8" s="8">
        <f>IF(NOT(ISNUMBER('3DA by Week'!K8)),"",IF(_xlfn.MAXIFS('3DA by Week'!$B$2:J$2,'3DA by Week'!$B8:J8,"&gt;=0")=0,"",'3DA by Week'!K8/INDEX('3DA by Week'!$B8:$K8,_xlfn.MAXIFS('3DA by Week'!$B$2:J$2,'3DA by Week'!$B8:J8,"&gt;=0"))-1))</f>
        <v/>
      </c>
    </row>
    <row r="9">
      <c r="A9" s="5" t="inlineStr">
        <is>
          <t>Tom Davis</t>
        </is>
      </c>
      <c r="C9" s="8">
        <f>IF(NOT(ISNUMBER('3DA by Week'!C9)),"",IF(_xlfn.MAXIFS('3DA by Week'!$B$2:B$2,'3DA by Week'!$B9:B9,"&gt;=0")=0,"",'3DA by Week'!C9/INDEX('3DA by Week'!$B9:$K9,_xlfn.MAXIFS('3DA by Week'!$B$2:B$2,'3DA by Week'!$B9:B9,"&gt;=0"))-1))</f>
        <v/>
      </c>
      <c r="D9" s="8">
        <f>IF(NOT(ISNUMBER('3DA by Week'!D9)),"",IF(_xlfn.MAXIFS('3DA by Week'!$B$2:C$2,'3DA by Week'!$B9:C9,"&gt;=0")=0,"",'3DA by Week'!D9/INDEX('3DA by Week'!$B9:$K9,_xlfn.MAXIFS('3DA by Week'!$B$2:C$2,'3DA by Week'!$B9:C9,"&gt;=0"))-1))</f>
        <v/>
      </c>
      <c r="E9" s="8">
        <f>IF(NOT(ISNUMBER('3DA by Week'!E9)),"",IF(_xlfn.MAXIFS('3DA by Week'!$B$2:D$2,'3DA by Week'!$B9:D9,"&gt;=0")=0,"",'3DA by Week'!E9/INDEX('3DA by Week'!$B9:$K9,_xlfn.MAXIFS('3DA by Week'!$B$2:D$2,'3DA by Week'!$B9:D9,"&gt;=0"))-1))</f>
        <v/>
      </c>
      <c r="F9" s="8">
        <f>IF(NOT(ISNUMBER('3DA by Week'!F9)),"",IF(_xlfn.MAXIFS('3DA by Week'!$B$2:E$2,'3DA by Week'!$B9:E9,"&gt;=0")=0,"",'3DA by Week'!F9/INDEX('3DA by Week'!$B9:$K9,_xlfn.MAXIFS('3DA by Week'!$B$2:E$2,'3DA by Week'!$B9:E9,"&gt;=0"))-1))</f>
        <v/>
      </c>
      <c r="G9" s="8">
        <f>IF(NOT(ISNUMBER('3DA by Week'!G9)),"",IF(_xlfn.MAXIFS('3DA by Week'!$B$2:F$2,'3DA by Week'!$B9:F9,"&gt;=0")=0,"",'3DA by Week'!G9/INDEX('3DA by Week'!$B9:$K9,_xlfn.MAXIFS('3DA by Week'!$B$2:F$2,'3DA by Week'!$B9:F9,"&gt;=0"))-1))</f>
        <v/>
      </c>
      <c r="H9" s="8">
        <f>IF(NOT(ISNUMBER('3DA by Week'!H9)),"",IF(_xlfn.MAXIFS('3DA by Week'!$B$2:G$2,'3DA by Week'!$B9:G9,"&gt;=0")=0,"",'3DA by Week'!H9/INDEX('3DA by Week'!$B9:$K9,_xlfn.MAXIFS('3DA by Week'!$B$2:G$2,'3DA by Week'!$B9:G9,"&gt;=0"))-1))</f>
        <v/>
      </c>
      <c r="I9" s="8">
        <f>IF(NOT(ISNUMBER('3DA by Week'!I9)),"",IF(_xlfn.MAXIFS('3DA by Week'!$B$2:H$2,'3DA by Week'!$B9:H9,"&gt;=0")=0,"",'3DA by Week'!I9/INDEX('3DA by Week'!$B9:$K9,_xlfn.MAXIFS('3DA by Week'!$B$2:H$2,'3DA by Week'!$B9:H9,"&gt;=0"))-1))</f>
        <v/>
      </c>
      <c r="J9" s="8">
        <f>IF(NOT(ISNUMBER('3DA by Week'!J9)),"",IF(_xlfn.MAXIFS('3DA by Week'!$B$2:I$2,'3DA by Week'!$B9:I9,"&gt;=0")=0,"",'3DA by Week'!J9/INDEX('3DA by Week'!$B9:$K9,_xlfn.MAXIFS('3DA by Week'!$B$2:I$2,'3DA by Week'!$B9:I9,"&gt;=0"))-1))</f>
        <v/>
      </c>
      <c r="K9" s="8">
        <f>IF(NOT(ISNUMBER('3DA by Week'!K9)),"",IF(_xlfn.MAXIFS('3DA by Week'!$B$2:J$2,'3DA by Week'!$B9:J9,"&gt;=0")=0,"",'3DA by Week'!K9/INDEX('3DA by Week'!$B9:$K9,_xlfn.MAXIFS('3DA by Week'!$B$2:J$2,'3DA by Week'!$B9:J9,"&gt;=0"))-1))</f>
        <v/>
      </c>
    </row>
    <row r="10">
      <c r="A10" s="5" t="inlineStr">
        <is>
          <t>John Klemick</t>
        </is>
      </c>
      <c r="C10" s="8">
        <f>IF(NOT(ISNUMBER('3DA by Week'!C10)),"",IF(_xlfn.MAXIFS('3DA by Week'!$B$2:B$2,'3DA by Week'!$B10:B10,"&gt;=0")=0,"",'3DA by Week'!C10/INDEX('3DA by Week'!$B10:$K10,_xlfn.MAXIFS('3DA by Week'!$B$2:B$2,'3DA by Week'!$B10:B10,"&gt;=0"))-1))</f>
        <v/>
      </c>
      <c r="D10" s="8">
        <f>IF(NOT(ISNUMBER('3DA by Week'!D10)),"",IF(_xlfn.MAXIFS('3DA by Week'!$B$2:C$2,'3DA by Week'!$B10:C10,"&gt;=0")=0,"",'3DA by Week'!D10/INDEX('3DA by Week'!$B10:$K10,_xlfn.MAXIFS('3DA by Week'!$B$2:C$2,'3DA by Week'!$B10:C10,"&gt;=0"))-1))</f>
        <v/>
      </c>
      <c r="E10" s="8">
        <f>IF(NOT(ISNUMBER('3DA by Week'!E10)),"",IF(_xlfn.MAXIFS('3DA by Week'!$B$2:D$2,'3DA by Week'!$B10:D10,"&gt;=0")=0,"",'3DA by Week'!E10/INDEX('3DA by Week'!$B10:$K10,_xlfn.MAXIFS('3DA by Week'!$B$2:D$2,'3DA by Week'!$B10:D10,"&gt;=0"))-1))</f>
        <v/>
      </c>
      <c r="F10" s="8">
        <f>IF(NOT(ISNUMBER('3DA by Week'!F10)),"",IF(_xlfn.MAXIFS('3DA by Week'!$B$2:E$2,'3DA by Week'!$B10:E10,"&gt;=0")=0,"",'3DA by Week'!F10/INDEX('3DA by Week'!$B10:$K10,_xlfn.MAXIFS('3DA by Week'!$B$2:E$2,'3DA by Week'!$B10:E10,"&gt;=0"))-1))</f>
        <v/>
      </c>
      <c r="G10" s="8">
        <f>IF(NOT(ISNUMBER('3DA by Week'!G10)),"",IF(_xlfn.MAXIFS('3DA by Week'!$B$2:F$2,'3DA by Week'!$B10:F10,"&gt;=0")=0,"",'3DA by Week'!G10/INDEX('3DA by Week'!$B10:$K10,_xlfn.MAXIFS('3DA by Week'!$B$2:F$2,'3DA by Week'!$B10:F10,"&gt;=0"))-1))</f>
        <v/>
      </c>
      <c r="H10" s="8">
        <f>IF(NOT(ISNUMBER('3DA by Week'!H10)),"",IF(_xlfn.MAXIFS('3DA by Week'!$B$2:G$2,'3DA by Week'!$B10:G10,"&gt;=0")=0,"",'3DA by Week'!H10/INDEX('3DA by Week'!$B10:$K10,_xlfn.MAXIFS('3DA by Week'!$B$2:G$2,'3DA by Week'!$B10:G10,"&gt;=0"))-1))</f>
        <v/>
      </c>
      <c r="I10" s="8">
        <f>IF(NOT(ISNUMBER('3DA by Week'!I10)),"",IF(_xlfn.MAXIFS('3DA by Week'!$B$2:H$2,'3DA by Week'!$B10:H10,"&gt;=0")=0,"",'3DA by Week'!I10/INDEX('3DA by Week'!$B10:$K10,_xlfn.MAXIFS('3DA by Week'!$B$2:H$2,'3DA by Week'!$B10:H10,"&gt;=0"))-1))</f>
        <v/>
      </c>
      <c r="J10" s="8">
        <f>IF(NOT(ISNUMBER('3DA by Week'!J10)),"",IF(_xlfn.MAXIFS('3DA by Week'!$B$2:I$2,'3DA by Week'!$B10:I10,"&gt;=0")=0,"",'3DA by Week'!J10/INDEX('3DA by Week'!$B10:$K10,_xlfn.MAXIFS('3DA by Week'!$B$2:I$2,'3DA by Week'!$B10:I10,"&gt;=0"))-1))</f>
        <v/>
      </c>
      <c r="K10" s="8">
        <f>IF(NOT(ISNUMBER('3DA by Week'!K10)),"",IF(_xlfn.MAXIFS('3DA by Week'!$B$2:J$2,'3DA by Week'!$B10:J10,"&gt;=0")=0,"",'3DA by Week'!K10/INDEX('3DA by Week'!$B10:$K10,_xlfn.MAXIFS('3DA by Week'!$B$2:J$2,'3DA by Week'!$B10:J10,"&gt;=0"))-1))</f>
        <v/>
      </c>
    </row>
    <row r="11">
      <c r="A11" s="5" t="inlineStr">
        <is>
          <t>Frank Gillespie</t>
        </is>
      </c>
      <c r="C11" s="8">
        <f>IF(NOT(ISNUMBER('3DA by Week'!C11)),"",IF(_xlfn.MAXIFS('3DA by Week'!$B$2:B$2,'3DA by Week'!$B11:B11,"&gt;=0")=0,"",'3DA by Week'!C11/INDEX('3DA by Week'!$B11:$K11,_xlfn.MAXIFS('3DA by Week'!$B$2:B$2,'3DA by Week'!$B11:B11,"&gt;=0"))-1))</f>
        <v/>
      </c>
      <c r="D11" s="8">
        <f>IF(NOT(ISNUMBER('3DA by Week'!D11)),"",IF(_xlfn.MAXIFS('3DA by Week'!$B$2:C$2,'3DA by Week'!$B11:C11,"&gt;=0")=0,"",'3DA by Week'!D11/INDEX('3DA by Week'!$B11:$K11,_xlfn.MAXIFS('3DA by Week'!$B$2:C$2,'3DA by Week'!$B11:C11,"&gt;=0"))-1))</f>
        <v/>
      </c>
      <c r="E11" s="8">
        <f>IF(NOT(ISNUMBER('3DA by Week'!E11)),"",IF(_xlfn.MAXIFS('3DA by Week'!$B$2:D$2,'3DA by Week'!$B11:D11,"&gt;=0")=0,"",'3DA by Week'!E11/INDEX('3DA by Week'!$B11:$K11,_xlfn.MAXIFS('3DA by Week'!$B$2:D$2,'3DA by Week'!$B11:D11,"&gt;=0"))-1))</f>
        <v/>
      </c>
      <c r="F11" s="8">
        <f>IF(NOT(ISNUMBER('3DA by Week'!F11)),"",IF(_xlfn.MAXIFS('3DA by Week'!$B$2:E$2,'3DA by Week'!$B11:E11,"&gt;=0")=0,"",'3DA by Week'!F11/INDEX('3DA by Week'!$B11:$K11,_xlfn.MAXIFS('3DA by Week'!$B$2:E$2,'3DA by Week'!$B11:E11,"&gt;=0"))-1))</f>
        <v/>
      </c>
      <c r="G11" s="8">
        <f>IF(NOT(ISNUMBER('3DA by Week'!G11)),"",IF(_xlfn.MAXIFS('3DA by Week'!$B$2:F$2,'3DA by Week'!$B11:F11,"&gt;=0")=0,"",'3DA by Week'!G11/INDEX('3DA by Week'!$B11:$K11,_xlfn.MAXIFS('3DA by Week'!$B$2:F$2,'3DA by Week'!$B11:F11,"&gt;=0"))-1))</f>
        <v/>
      </c>
      <c r="H11" s="8">
        <f>IF(NOT(ISNUMBER('3DA by Week'!H11)),"",IF(_xlfn.MAXIFS('3DA by Week'!$B$2:G$2,'3DA by Week'!$B11:G11,"&gt;=0")=0,"",'3DA by Week'!H11/INDEX('3DA by Week'!$B11:$K11,_xlfn.MAXIFS('3DA by Week'!$B$2:G$2,'3DA by Week'!$B11:G11,"&gt;=0"))-1))</f>
        <v/>
      </c>
      <c r="I11" s="8">
        <f>IF(NOT(ISNUMBER('3DA by Week'!I11)),"",IF(_xlfn.MAXIFS('3DA by Week'!$B$2:H$2,'3DA by Week'!$B11:H11,"&gt;=0")=0,"",'3DA by Week'!I11/INDEX('3DA by Week'!$B11:$K11,_xlfn.MAXIFS('3DA by Week'!$B$2:H$2,'3DA by Week'!$B11:H11,"&gt;=0"))-1))</f>
        <v/>
      </c>
      <c r="J11" s="8">
        <f>IF(NOT(ISNUMBER('3DA by Week'!J11)),"",IF(_xlfn.MAXIFS('3DA by Week'!$B$2:I$2,'3DA by Week'!$B11:I11,"&gt;=0")=0,"",'3DA by Week'!J11/INDEX('3DA by Week'!$B11:$K11,_xlfn.MAXIFS('3DA by Week'!$B$2:I$2,'3DA by Week'!$B11:I11,"&gt;=0"))-1))</f>
        <v/>
      </c>
      <c r="K11" s="8">
        <f>IF(NOT(ISNUMBER('3DA by Week'!K11)),"",IF(_xlfn.MAXIFS('3DA by Week'!$B$2:J$2,'3DA by Week'!$B11:J11,"&gt;=0")=0,"",'3DA by Week'!K11/INDEX('3DA by Week'!$B11:$K11,_xlfn.MAXIFS('3DA by Week'!$B$2:J$2,'3DA by Week'!$B11:J11,"&gt;=0"))-1))</f>
        <v/>
      </c>
    </row>
    <row r="12">
      <c r="A12" s="5" t="inlineStr">
        <is>
          <t>Jim Wright</t>
        </is>
      </c>
      <c r="C12" s="8">
        <f>IF(NOT(ISNUMBER('3DA by Week'!C12)),"",IF(_xlfn.MAXIFS('3DA by Week'!$B$2:B$2,'3DA by Week'!$B12:B12,"&gt;=0")=0,"",'3DA by Week'!C12/INDEX('3DA by Week'!$B12:$K12,_xlfn.MAXIFS('3DA by Week'!$B$2:B$2,'3DA by Week'!$B12:B12,"&gt;=0"))-1))</f>
        <v/>
      </c>
      <c r="D12" s="8">
        <f>IF(NOT(ISNUMBER('3DA by Week'!D12)),"",IF(_xlfn.MAXIFS('3DA by Week'!$B$2:C$2,'3DA by Week'!$B12:C12,"&gt;=0")=0,"",'3DA by Week'!D12/INDEX('3DA by Week'!$B12:$K12,_xlfn.MAXIFS('3DA by Week'!$B$2:C$2,'3DA by Week'!$B12:C12,"&gt;=0"))-1))</f>
        <v/>
      </c>
      <c r="E12" s="8">
        <f>IF(NOT(ISNUMBER('3DA by Week'!E12)),"",IF(_xlfn.MAXIFS('3DA by Week'!$B$2:D$2,'3DA by Week'!$B12:D12,"&gt;=0")=0,"",'3DA by Week'!E12/INDEX('3DA by Week'!$B12:$K12,_xlfn.MAXIFS('3DA by Week'!$B$2:D$2,'3DA by Week'!$B12:D12,"&gt;=0"))-1))</f>
        <v/>
      </c>
      <c r="F12" s="8">
        <f>IF(NOT(ISNUMBER('3DA by Week'!F12)),"",IF(_xlfn.MAXIFS('3DA by Week'!$B$2:E$2,'3DA by Week'!$B12:E12,"&gt;=0")=0,"",'3DA by Week'!F12/INDEX('3DA by Week'!$B12:$K12,_xlfn.MAXIFS('3DA by Week'!$B$2:E$2,'3DA by Week'!$B12:E12,"&gt;=0"))-1))</f>
        <v/>
      </c>
      <c r="G12" s="8">
        <f>IF(NOT(ISNUMBER('3DA by Week'!G12)),"",IF(_xlfn.MAXIFS('3DA by Week'!$B$2:F$2,'3DA by Week'!$B12:F12,"&gt;=0")=0,"",'3DA by Week'!G12/INDEX('3DA by Week'!$B12:$K12,_xlfn.MAXIFS('3DA by Week'!$B$2:F$2,'3DA by Week'!$B12:F12,"&gt;=0"))-1))</f>
        <v/>
      </c>
      <c r="H12" s="8">
        <f>IF(NOT(ISNUMBER('3DA by Week'!H12)),"",IF(_xlfn.MAXIFS('3DA by Week'!$B$2:G$2,'3DA by Week'!$B12:G12,"&gt;=0")=0,"",'3DA by Week'!H12/INDEX('3DA by Week'!$B12:$K12,_xlfn.MAXIFS('3DA by Week'!$B$2:G$2,'3DA by Week'!$B12:G12,"&gt;=0"))-1))</f>
        <v/>
      </c>
      <c r="I12" s="8">
        <f>IF(NOT(ISNUMBER('3DA by Week'!I12)),"",IF(_xlfn.MAXIFS('3DA by Week'!$B$2:H$2,'3DA by Week'!$B12:H12,"&gt;=0")=0,"",'3DA by Week'!I12/INDEX('3DA by Week'!$B12:$K12,_xlfn.MAXIFS('3DA by Week'!$B$2:H$2,'3DA by Week'!$B12:H12,"&gt;=0"))-1))</f>
        <v/>
      </c>
      <c r="J12" s="8">
        <f>IF(NOT(ISNUMBER('3DA by Week'!J12)),"",IF(_xlfn.MAXIFS('3DA by Week'!$B$2:I$2,'3DA by Week'!$B12:I12,"&gt;=0")=0,"",'3DA by Week'!J12/INDEX('3DA by Week'!$B12:$K12,_xlfn.MAXIFS('3DA by Week'!$B$2:I$2,'3DA by Week'!$B12:I12,"&gt;=0"))-1))</f>
        <v/>
      </c>
      <c r="K12" s="8">
        <f>IF(NOT(ISNUMBER('3DA by Week'!K12)),"",IF(_xlfn.MAXIFS('3DA by Week'!$B$2:J$2,'3DA by Week'!$B12:J12,"&gt;=0")=0,"",'3DA by Week'!K12/INDEX('3DA by Week'!$B12:$K12,_xlfn.MAXIFS('3DA by Week'!$B$2:J$2,'3DA by Week'!$B12:J12,"&gt;=0"))-1))</f>
        <v/>
      </c>
    </row>
    <row r="13">
      <c r="A13" s="5" t="inlineStr">
        <is>
          <t>Dave Keppler</t>
        </is>
      </c>
      <c r="C13" s="8">
        <f>IF(NOT(ISNUMBER('3DA by Week'!C13)),"",IF(_xlfn.MAXIFS('3DA by Week'!$B$2:B$2,'3DA by Week'!$B13:B13,"&gt;=0")=0,"",'3DA by Week'!C13/INDEX('3DA by Week'!$B13:$K13,_xlfn.MAXIFS('3DA by Week'!$B$2:B$2,'3DA by Week'!$B13:B13,"&gt;=0"))-1))</f>
        <v/>
      </c>
      <c r="D13" s="8">
        <f>IF(NOT(ISNUMBER('3DA by Week'!D13)),"",IF(_xlfn.MAXIFS('3DA by Week'!$B$2:C$2,'3DA by Week'!$B13:C13,"&gt;=0")=0,"",'3DA by Week'!D13/INDEX('3DA by Week'!$B13:$K13,_xlfn.MAXIFS('3DA by Week'!$B$2:C$2,'3DA by Week'!$B13:C13,"&gt;=0"))-1))</f>
        <v/>
      </c>
      <c r="E13" s="8">
        <f>IF(NOT(ISNUMBER('3DA by Week'!E13)),"",IF(_xlfn.MAXIFS('3DA by Week'!$B$2:D$2,'3DA by Week'!$B13:D13,"&gt;=0")=0,"",'3DA by Week'!E13/INDEX('3DA by Week'!$B13:$K13,_xlfn.MAXIFS('3DA by Week'!$B$2:D$2,'3DA by Week'!$B13:D13,"&gt;=0"))-1))</f>
        <v/>
      </c>
      <c r="F13" s="8">
        <f>IF(NOT(ISNUMBER('3DA by Week'!F13)),"",IF(_xlfn.MAXIFS('3DA by Week'!$B$2:E$2,'3DA by Week'!$B13:E13,"&gt;=0")=0,"",'3DA by Week'!F13/INDEX('3DA by Week'!$B13:$K13,_xlfn.MAXIFS('3DA by Week'!$B$2:E$2,'3DA by Week'!$B13:E13,"&gt;=0"))-1))</f>
        <v/>
      </c>
      <c r="G13" s="8">
        <f>IF(NOT(ISNUMBER('3DA by Week'!G13)),"",IF(_xlfn.MAXIFS('3DA by Week'!$B$2:F$2,'3DA by Week'!$B13:F13,"&gt;=0")=0,"",'3DA by Week'!G13/INDEX('3DA by Week'!$B13:$K13,_xlfn.MAXIFS('3DA by Week'!$B$2:F$2,'3DA by Week'!$B13:F13,"&gt;=0"))-1))</f>
        <v/>
      </c>
      <c r="H13" s="8">
        <f>IF(NOT(ISNUMBER('3DA by Week'!H13)),"",IF(_xlfn.MAXIFS('3DA by Week'!$B$2:G$2,'3DA by Week'!$B13:G13,"&gt;=0")=0,"",'3DA by Week'!H13/INDEX('3DA by Week'!$B13:$K13,_xlfn.MAXIFS('3DA by Week'!$B$2:G$2,'3DA by Week'!$B13:G13,"&gt;=0"))-1))</f>
        <v/>
      </c>
      <c r="I13" s="8">
        <f>IF(NOT(ISNUMBER('3DA by Week'!I13)),"",IF(_xlfn.MAXIFS('3DA by Week'!$B$2:H$2,'3DA by Week'!$B13:H13,"&gt;=0")=0,"",'3DA by Week'!I13/INDEX('3DA by Week'!$B13:$K13,_xlfn.MAXIFS('3DA by Week'!$B$2:H$2,'3DA by Week'!$B13:H13,"&gt;=0"))-1))</f>
        <v/>
      </c>
      <c r="J13" s="8">
        <f>IF(NOT(ISNUMBER('3DA by Week'!J13)),"",IF(_xlfn.MAXIFS('3DA by Week'!$B$2:I$2,'3DA by Week'!$B13:I13,"&gt;=0")=0,"",'3DA by Week'!J13/INDEX('3DA by Week'!$B13:$K13,_xlfn.MAXIFS('3DA by Week'!$B$2:I$2,'3DA by Week'!$B13:I13,"&gt;=0"))-1))</f>
        <v/>
      </c>
      <c r="K13" s="8">
        <f>IF(NOT(ISNUMBER('3DA by Week'!K13)),"",IF(_xlfn.MAXIFS('3DA by Week'!$B$2:J$2,'3DA by Week'!$B13:J13,"&gt;=0")=0,"",'3DA by Week'!K13/INDEX('3DA by Week'!$B13:$K13,_xlfn.MAXIFS('3DA by Week'!$B$2:J$2,'3DA by Week'!$B13:J13,"&gt;=0"))-1))</f>
        <v/>
      </c>
    </row>
    <row r="14">
      <c r="A14" s="6" t="inlineStr">
        <is>
          <t>TEAM</t>
        </is>
      </c>
      <c r="B14" s="6" t="n"/>
      <c r="C14" s="9">
        <f>IF(NOT(ISNUMBER('3DA by Week'!C14)),"",IF(_xlfn.MAXIFS('3DA by Week'!$B$2:B$2,'3DA by Week'!$B14:B14,"&gt;=0")=0,"",'3DA by Week'!C14/INDEX('3DA by Week'!$B14:$K14,_xlfn.MAXIFS('3DA by Week'!$B$2:B$2,'3DA by Week'!$B14:B14,"&gt;=0"))-1))</f>
        <v/>
      </c>
      <c r="D14" s="9">
        <f>IF(NOT(ISNUMBER('3DA by Week'!D14)),"",IF(_xlfn.MAXIFS('3DA by Week'!$B$2:C$2,'3DA by Week'!$B14:C14,"&gt;=0")=0,"",'3DA by Week'!D14/INDEX('3DA by Week'!$B14:$K14,_xlfn.MAXIFS('3DA by Week'!$B$2:C$2,'3DA by Week'!$B14:C14,"&gt;=0"))-1))</f>
        <v/>
      </c>
      <c r="E14" s="9">
        <f>IF(NOT(ISNUMBER('3DA by Week'!E14)),"",IF(_xlfn.MAXIFS('3DA by Week'!$B$2:D$2,'3DA by Week'!$B14:D14,"&gt;=0")=0,"",'3DA by Week'!E14/INDEX('3DA by Week'!$B14:$K14,_xlfn.MAXIFS('3DA by Week'!$B$2:D$2,'3DA by Week'!$B14:D14,"&gt;=0"))-1))</f>
        <v/>
      </c>
      <c r="F14" s="9">
        <f>IF(NOT(ISNUMBER('3DA by Week'!F14)),"",IF(_xlfn.MAXIFS('3DA by Week'!$B$2:E$2,'3DA by Week'!$B14:E14,"&gt;=0")=0,"",'3DA by Week'!F14/INDEX('3DA by Week'!$B14:$K14,_xlfn.MAXIFS('3DA by Week'!$B$2:E$2,'3DA by Week'!$B14:E14,"&gt;=0"))-1))</f>
        <v/>
      </c>
      <c r="G14" s="9">
        <f>IF(NOT(ISNUMBER('3DA by Week'!G14)),"",IF(_xlfn.MAXIFS('3DA by Week'!$B$2:F$2,'3DA by Week'!$B14:F14,"&gt;=0")=0,"",'3DA by Week'!G14/INDEX('3DA by Week'!$B14:$K14,_xlfn.MAXIFS('3DA by Week'!$B$2:F$2,'3DA by Week'!$B14:F14,"&gt;=0"))-1))</f>
        <v/>
      </c>
      <c r="H14" s="9">
        <f>IF(NOT(ISNUMBER('3DA by Week'!H14)),"",IF(_xlfn.MAXIFS('3DA by Week'!$B$2:G$2,'3DA by Week'!$B14:G14,"&gt;=0")=0,"",'3DA by Week'!H14/INDEX('3DA by Week'!$B14:$K14,_xlfn.MAXIFS('3DA by Week'!$B$2:G$2,'3DA by Week'!$B14:G14,"&gt;=0"))-1))</f>
        <v/>
      </c>
      <c r="I14" s="9">
        <f>IF(NOT(ISNUMBER('3DA by Week'!I14)),"",IF(_xlfn.MAXIFS('3DA by Week'!$B$2:H$2,'3DA by Week'!$B14:H14,"&gt;=0")=0,"",'3DA by Week'!I14/INDEX('3DA by Week'!$B14:$K14,_xlfn.MAXIFS('3DA by Week'!$B$2:H$2,'3DA by Week'!$B14:H14,"&gt;=0"))-1))</f>
        <v/>
      </c>
      <c r="J14" s="9">
        <f>IF(NOT(ISNUMBER('3DA by Week'!J14)),"",IF(_xlfn.MAXIFS('3DA by Week'!$B$2:I$2,'3DA by Week'!$B14:I14,"&gt;=0")=0,"",'3DA by Week'!J14/INDEX('3DA by Week'!$B14:$K14,_xlfn.MAXIFS('3DA by Week'!$B$2:I$2,'3DA by Week'!$B14:I14,"&gt;=0"))-1))</f>
        <v/>
      </c>
      <c r="K14" s="9">
        <f>IF(NOT(ISNUMBER('3DA by Week'!K14)),"",IF(_xlfn.MAXIFS('3DA by Week'!$B$2:J$2,'3DA by Week'!$B14:J14,"&gt;=0")=0,"",'3DA by Week'!K14/INDEX('3DA by Week'!$B14:$K14,_xlfn.MAXIFS('3DA by Week'!$B$2:J$2,'3DA by Week'!$B14:J14,"&gt;=0"))-1))</f>
        <v/>
      </c>
    </row>
    <row r="16">
      <c r="A16" s="10" t="inlineStr">
        <is>
          <t>Week-over-week % change in 3DA vs. the player's previous week actually played (missed weeks skipped). Blank = didn't shoot or first week played.</t>
        </is>
      </c>
    </row>
  </sheetData>
  <conditionalFormatting sqref="B3:K14">
    <cfRule type="expression" priority="1" dxfId="0">
      <formula>AND(ISNUMBER(B3),B3&gt;0)</formula>
    </cfRule>
    <cfRule type="expression" priority="2" dxfId="1">
      <formula>AND(ISNUMBER(B3),B3&lt;0)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1" customWidth="1" min="4" max="4"/>
    <col width="11" customWidth="1" min="5" max="5"/>
    <col width="11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Weeks Played</t>
        </is>
      </c>
      <c r="D1" s="1" t="inlineStr">
        <is>
          <t>Season 3DA</t>
        </is>
      </c>
      <c r="E1" s="1" t="inlineStr">
        <is>
          <t>Latest 3DA</t>
        </is>
      </c>
      <c r="F1" s="1" t="inlineStr">
        <is>
          <t>Latest vs Season %</t>
        </is>
      </c>
      <c r="G1" s="1" t="inlineStr">
        <is>
          <t>Trend</t>
        </is>
      </c>
      <c r="H1" s="1" t="inlineStr">
        <is>
          <t>Season MPR</t>
        </is>
      </c>
      <c r="I1" s="1" t="inlineStr">
        <is>
          <t>Season DO%</t>
        </is>
      </c>
      <c r="J1" s="1" t="inlineStr">
        <is>
          <t>Best 3DA Week</t>
        </is>
      </c>
    </row>
    <row r="2">
      <c r="A2" t="n">
        <v>1</v>
      </c>
      <c r="B2" s="5">
        <f>INDEX('3DA by Week'!$A$3:$A$13,MATCH(LARGE('3DA by Week'!$S$3:$S$13,A2),'3DA by Week'!$S$3:$S$13,0))</f>
        <v/>
      </c>
      <c r="C2">
        <f>INDEX('3DA by Week'!$O$3:$O$13,MATCH($B2,'3DA by Week'!$A$3:$A$13,0))</f>
        <v/>
      </c>
      <c r="D2" s="3">
        <f>INDEX('3DA by Week'!$L$3:$L$13,MATCH($B2,'3DA by Week'!$A$3:$A$13,0))</f>
        <v/>
      </c>
      <c r="E2" s="3">
        <f>INDEX('3DA by Week'!$P$3:$P$13,MATCH($B2,'3DA by Week'!$A$3:$A$13,0))</f>
        <v/>
      </c>
      <c r="F2" s="8">
        <f>IF(OR(C2&lt;2,NOT(ISNUMBER(D2))),"",E2/D2-1)</f>
        <v/>
      </c>
      <c r="G2">
        <f>IF(OR(C2&lt;2,NOT(ISNUMBER(D2))),"—",IF(E2&gt;=D2*1.05,"Hot",IF(E2&lt;=D2*0.95,"Cold","Steady")))</f>
        <v/>
      </c>
      <c r="H2" s="3">
        <f>INDEX('MPR by Week'!$L$3:$L$13,MATCH($B2,'3DA by Week'!$A$3:$A$13,0))</f>
        <v/>
      </c>
      <c r="I2" s="4">
        <f>INDEX('DO% by Week'!$L$3:$L$13,MATCH($B2,'3DA by Week'!$A$3:$A$13,0))</f>
        <v/>
      </c>
      <c r="J2">
        <f>INDEX('3DA by Week'!$Q$3:$Q$13,MATCH($B2,'3DA by Week'!$A$3:$A$13,0))</f>
        <v/>
      </c>
    </row>
    <row r="3">
      <c r="A3" t="n">
        <v>2</v>
      </c>
      <c r="B3" s="5">
        <f>INDEX('3DA by Week'!$A$3:$A$13,MATCH(LARGE('3DA by Week'!$S$3:$S$13,A3),'3DA by Week'!$S$3:$S$13,0))</f>
        <v/>
      </c>
      <c r="C3">
        <f>INDEX('3DA by Week'!$O$3:$O$13,MATCH($B3,'3DA by Week'!$A$3:$A$13,0))</f>
        <v/>
      </c>
      <c r="D3" s="3">
        <f>INDEX('3DA by Week'!$L$3:$L$13,MATCH($B3,'3DA by Week'!$A$3:$A$13,0))</f>
        <v/>
      </c>
      <c r="E3" s="3">
        <f>INDEX('3DA by Week'!$P$3:$P$13,MATCH($B3,'3DA by Week'!$A$3:$A$13,0))</f>
        <v/>
      </c>
      <c r="F3" s="8">
        <f>IF(OR(C3&lt;2,NOT(ISNUMBER(D3))),"",E3/D3-1)</f>
        <v/>
      </c>
      <c r="G3">
        <f>IF(OR(C3&lt;2,NOT(ISNUMBER(D3))),"—",IF(E3&gt;=D3*1.05,"Hot",IF(E3&lt;=D3*0.95,"Cold","Steady")))</f>
        <v/>
      </c>
      <c r="H3" s="3">
        <f>INDEX('MPR by Week'!$L$3:$L$13,MATCH($B3,'3DA by Week'!$A$3:$A$13,0))</f>
        <v/>
      </c>
      <c r="I3" s="4">
        <f>INDEX('DO% by Week'!$L$3:$L$13,MATCH($B3,'3DA by Week'!$A$3:$A$13,0))</f>
        <v/>
      </c>
      <c r="J3">
        <f>INDEX('3DA by Week'!$Q$3:$Q$13,MATCH($B3,'3DA by Week'!$A$3:$A$13,0))</f>
        <v/>
      </c>
    </row>
    <row r="4">
      <c r="A4" t="n">
        <v>3</v>
      </c>
      <c r="B4" s="5">
        <f>INDEX('3DA by Week'!$A$3:$A$13,MATCH(LARGE('3DA by Week'!$S$3:$S$13,A4),'3DA by Week'!$S$3:$S$13,0))</f>
        <v/>
      </c>
      <c r="C4">
        <f>INDEX('3DA by Week'!$O$3:$O$13,MATCH($B4,'3DA by Week'!$A$3:$A$13,0))</f>
        <v/>
      </c>
      <c r="D4" s="3">
        <f>INDEX('3DA by Week'!$L$3:$L$13,MATCH($B4,'3DA by Week'!$A$3:$A$13,0))</f>
        <v/>
      </c>
      <c r="E4" s="3">
        <f>INDEX('3DA by Week'!$P$3:$P$13,MATCH($B4,'3DA by Week'!$A$3:$A$13,0))</f>
        <v/>
      </c>
      <c r="F4" s="8">
        <f>IF(OR(C4&lt;2,NOT(ISNUMBER(D4))),"",E4/D4-1)</f>
        <v/>
      </c>
      <c r="G4">
        <f>IF(OR(C4&lt;2,NOT(ISNUMBER(D4))),"—",IF(E4&gt;=D4*1.05,"Hot",IF(E4&lt;=D4*0.95,"Cold","Steady")))</f>
        <v/>
      </c>
      <c r="H4" s="3">
        <f>INDEX('MPR by Week'!$L$3:$L$13,MATCH($B4,'3DA by Week'!$A$3:$A$13,0))</f>
        <v/>
      </c>
      <c r="I4" s="4">
        <f>INDEX('DO% by Week'!$L$3:$L$13,MATCH($B4,'3DA by Week'!$A$3:$A$13,0))</f>
        <v/>
      </c>
      <c r="J4">
        <f>INDEX('3DA by Week'!$Q$3:$Q$13,MATCH($B4,'3DA by Week'!$A$3:$A$13,0))</f>
        <v/>
      </c>
    </row>
    <row r="5">
      <c r="A5" t="n">
        <v>4</v>
      </c>
      <c r="B5" s="5">
        <f>INDEX('3DA by Week'!$A$3:$A$13,MATCH(LARGE('3DA by Week'!$S$3:$S$13,A5),'3DA by Week'!$S$3:$S$13,0))</f>
        <v/>
      </c>
      <c r="C5">
        <f>INDEX('3DA by Week'!$O$3:$O$13,MATCH($B5,'3DA by Week'!$A$3:$A$13,0))</f>
        <v/>
      </c>
      <c r="D5" s="3">
        <f>INDEX('3DA by Week'!$L$3:$L$13,MATCH($B5,'3DA by Week'!$A$3:$A$13,0))</f>
        <v/>
      </c>
      <c r="E5" s="3">
        <f>INDEX('3DA by Week'!$P$3:$P$13,MATCH($B5,'3DA by Week'!$A$3:$A$13,0))</f>
        <v/>
      </c>
      <c r="F5" s="8">
        <f>IF(OR(C5&lt;2,NOT(ISNUMBER(D5))),"",E5/D5-1)</f>
        <v/>
      </c>
      <c r="G5">
        <f>IF(OR(C5&lt;2,NOT(ISNUMBER(D5))),"—",IF(E5&gt;=D5*1.05,"Hot",IF(E5&lt;=D5*0.95,"Cold","Steady")))</f>
        <v/>
      </c>
      <c r="H5" s="3">
        <f>INDEX('MPR by Week'!$L$3:$L$13,MATCH($B5,'3DA by Week'!$A$3:$A$13,0))</f>
        <v/>
      </c>
      <c r="I5" s="4">
        <f>INDEX('DO% by Week'!$L$3:$L$13,MATCH($B5,'3DA by Week'!$A$3:$A$13,0))</f>
        <v/>
      </c>
      <c r="J5">
        <f>INDEX('3DA by Week'!$Q$3:$Q$13,MATCH($B5,'3DA by Week'!$A$3:$A$13,0))</f>
        <v/>
      </c>
    </row>
    <row r="6">
      <c r="A6" t="n">
        <v>5</v>
      </c>
      <c r="B6" s="5">
        <f>INDEX('3DA by Week'!$A$3:$A$13,MATCH(LARGE('3DA by Week'!$S$3:$S$13,A6),'3DA by Week'!$S$3:$S$13,0))</f>
        <v/>
      </c>
      <c r="C6">
        <f>INDEX('3DA by Week'!$O$3:$O$13,MATCH($B6,'3DA by Week'!$A$3:$A$13,0))</f>
        <v/>
      </c>
      <c r="D6" s="3">
        <f>INDEX('3DA by Week'!$L$3:$L$13,MATCH($B6,'3DA by Week'!$A$3:$A$13,0))</f>
        <v/>
      </c>
      <c r="E6" s="3">
        <f>INDEX('3DA by Week'!$P$3:$P$13,MATCH($B6,'3DA by Week'!$A$3:$A$13,0))</f>
        <v/>
      </c>
      <c r="F6" s="8">
        <f>IF(OR(C6&lt;2,NOT(ISNUMBER(D6))),"",E6/D6-1)</f>
        <v/>
      </c>
      <c r="G6">
        <f>IF(OR(C6&lt;2,NOT(ISNUMBER(D6))),"—",IF(E6&gt;=D6*1.05,"Hot",IF(E6&lt;=D6*0.95,"Cold","Steady")))</f>
        <v/>
      </c>
      <c r="H6" s="3">
        <f>INDEX('MPR by Week'!$L$3:$L$13,MATCH($B6,'3DA by Week'!$A$3:$A$13,0))</f>
        <v/>
      </c>
      <c r="I6" s="4">
        <f>INDEX('DO% by Week'!$L$3:$L$13,MATCH($B6,'3DA by Week'!$A$3:$A$13,0))</f>
        <v/>
      </c>
      <c r="J6">
        <f>INDEX('3DA by Week'!$Q$3:$Q$13,MATCH($B6,'3DA by Week'!$A$3:$A$13,0))</f>
        <v/>
      </c>
    </row>
    <row r="7">
      <c r="A7" t="n">
        <v>6</v>
      </c>
      <c r="B7" s="5">
        <f>INDEX('3DA by Week'!$A$3:$A$13,MATCH(LARGE('3DA by Week'!$S$3:$S$13,A7),'3DA by Week'!$S$3:$S$13,0))</f>
        <v/>
      </c>
      <c r="C7">
        <f>INDEX('3DA by Week'!$O$3:$O$13,MATCH($B7,'3DA by Week'!$A$3:$A$13,0))</f>
        <v/>
      </c>
      <c r="D7" s="3">
        <f>INDEX('3DA by Week'!$L$3:$L$13,MATCH($B7,'3DA by Week'!$A$3:$A$13,0))</f>
        <v/>
      </c>
      <c r="E7" s="3">
        <f>INDEX('3DA by Week'!$P$3:$P$13,MATCH($B7,'3DA by Week'!$A$3:$A$13,0))</f>
        <v/>
      </c>
      <c r="F7" s="8">
        <f>IF(OR(C7&lt;2,NOT(ISNUMBER(D7))),"",E7/D7-1)</f>
        <v/>
      </c>
      <c r="G7">
        <f>IF(OR(C7&lt;2,NOT(ISNUMBER(D7))),"—",IF(E7&gt;=D7*1.05,"Hot",IF(E7&lt;=D7*0.95,"Cold","Steady")))</f>
        <v/>
      </c>
      <c r="H7" s="3">
        <f>INDEX('MPR by Week'!$L$3:$L$13,MATCH($B7,'3DA by Week'!$A$3:$A$13,0))</f>
        <v/>
      </c>
      <c r="I7" s="4">
        <f>INDEX('DO% by Week'!$L$3:$L$13,MATCH($B7,'3DA by Week'!$A$3:$A$13,0))</f>
        <v/>
      </c>
      <c r="J7">
        <f>INDEX('3DA by Week'!$Q$3:$Q$13,MATCH($B7,'3DA by Week'!$A$3:$A$13,0))</f>
        <v/>
      </c>
    </row>
    <row r="8">
      <c r="A8" t="n">
        <v>7</v>
      </c>
      <c r="B8" s="5">
        <f>INDEX('3DA by Week'!$A$3:$A$13,MATCH(LARGE('3DA by Week'!$S$3:$S$13,A8),'3DA by Week'!$S$3:$S$13,0))</f>
        <v/>
      </c>
      <c r="C8">
        <f>INDEX('3DA by Week'!$O$3:$O$13,MATCH($B8,'3DA by Week'!$A$3:$A$13,0))</f>
        <v/>
      </c>
      <c r="D8" s="3">
        <f>INDEX('3DA by Week'!$L$3:$L$13,MATCH($B8,'3DA by Week'!$A$3:$A$13,0))</f>
        <v/>
      </c>
      <c r="E8" s="3">
        <f>INDEX('3DA by Week'!$P$3:$P$13,MATCH($B8,'3DA by Week'!$A$3:$A$13,0))</f>
        <v/>
      </c>
      <c r="F8" s="8">
        <f>IF(OR(C8&lt;2,NOT(ISNUMBER(D8))),"",E8/D8-1)</f>
        <v/>
      </c>
      <c r="G8">
        <f>IF(OR(C8&lt;2,NOT(ISNUMBER(D8))),"—",IF(E8&gt;=D8*1.05,"Hot",IF(E8&lt;=D8*0.95,"Cold","Steady")))</f>
        <v/>
      </c>
      <c r="H8" s="3">
        <f>INDEX('MPR by Week'!$L$3:$L$13,MATCH($B8,'3DA by Week'!$A$3:$A$13,0))</f>
        <v/>
      </c>
      <c r="I8" s="4">
        <f>INDEX('DO% by Week'!$L$3:$L$13,MATCH($B8,'3DA by Week'!$A$3:$A$13,0))</f>
        <v/>
      </c>
      <c r="J8">
        <f>INDEX('3DA by Week'!$Q$3:$Q$13,MATCH($B8,'3DA by Week'!$A$3:$A$13,0))</f>
        <v/>
      </c>
    </row>
    <row r="9">
      <c r="A9" t="n">
        <v>8</v>
      </c>
      <c r="B9" s="5">
        <f>INDEX('3DA by Week'!$A$3:$A$13,MATCH(LARGE('3DA by Week'!$S$3:$S$13,A9),'3DA by Week'!$S$3:$S$13,0))</f>
        <v/>
      </c>
      <c r="C9">
        <f>INDEX('3DA by Week'!$O$3:$O$13,MATCH($B9,'3DA by Week'!$A$3:$A$13,0))</f>
        <v/>
      </c>
      <c r="D9" s="3">
        <f>INDEX('3DA by Week'!$L$3:$L$13,MATCH($B9,'3DA by Week'!$A$3:$A$13,0))</f>
        <v/>
      </c>
      <c r="E9" s="3">
        <f>INDEX('3DA by Week'!$P$3:$P$13,MATCH($B9,'3DA by Week'!$A$3:$A$13,0))</f>
        <v/>
      </c>
      <c r="F9" s="8">
        <f>IF(OR(C9&lt;2,NOT(ISNUMBER(D9))),"",E9/D9-1)</f>
        <v/>
      </c>
      <c r="G9">
        <f>IF(OR(C9&lt;2,NOT(ISNUMBER(D9))),"—",IF(E9&gt;=D9*1.05,"Hot",IF(E9&lt;=D9*0.95,"Cold","Steady")))</f>
        <v/>
      </c>
      <c r="H9" s="3">
        <f>INDEX('MPR by Week'!$L$3:$L$13,MATCH($B9,'3DA by Week'!$A$3:$A$13,0))</f>
        <v/>
      </c>
      <c r="I9" s="4">
        <f>INDEX('DO% by Week'!$L$3:$L$13,MATCH($B9,'3DA by Week'!$A$3:$A$13,0))</f>
        <v/>
      </c>
      <c r="J9">
        <f>INDEX('3DA by Week'!$Q$3:$Q$13,MATCH($B9,'3DA by Week'!$A$3:$A$13,0))</f>
        <v/>
      </c>
    </row>
    <row r="10">
      <c r="A10" t="n">
        <v>9</v>
      </c>
      <c r="B10" s="5">
        <f>INDEX('3DA by Week'!$A$3:$A$13,MATCH(LARGE('3DA by Week'!$S$3:$S$13,A10),'3DA by Week'!$S$3:$S$13,0))</f>
        <v/>
      </c>
      <c r="C10">
        <f>INDEX('3DA by Week'!$O$3:$O$13,MATCH($B10,'3DA by Week'!$A$3:$A$13,0))</f>
        <v/>
      </c>
      <c r="D10" s="3">
        <f>INDEX('3DA by Week'!$L$3:$L$13,MATCH($B10,'3DA by Week'!$A$3:$A$13,0))</f>
        <v/>
      </c>
      <c r="E10" s="3">
        <f>INDEX('3DA by Week'!$P$3:$P$13,MATCH($B10,'3DA by Week'!$A$3:$A$13,0))</f>
        <v/>
      </c>
      <c r="F10" s="8">
        <f>IF(OR(C10&lt;2,NOT(ISNUMBER(D10))),"",E10/D10-1)</f>
        <v/>
      </c>
      <c r="G10">
        <f>IF(OR(C10&lt;2,NOT(ISNUMBER(D10))),"—",IF(E10&gt;=D10*1.05,"Hot",IF(E10&lt;=D10*0.95,"Cold","Steady")))</f>
        <v/>
      </c>
      <c r="H10" s="3">
        <f>INDEX('MPR by Week'!$L$3:$L$13,MATCH($B10,'3DA by Week'!$A$3:$A$13,0))</f>
        <v/>
      </c>
      <c r="I10" s="4">
        <f>INDEX('DO% by Week'!$L$3:$L$13,MATCH($B10,'3DA by Week'!$A$3:$A$13,0))</f>
        <v/>
      </c>
      <c r="J10">
        <f>INDEX('3DA by Week'!$Q$3:$Q$13,MATCH($B10,'3DA by Week'!$A$3:$A$13,0))</f>
        <v/>
      </c>
    </row>
    <row r="11">
      <c r="A11" t="n">
        <v>10</v>
      </c>
      <c r="B11" s="5">
        <f>INDEX('3DA by Week'!$A$3:$A$13,MATCH(LARGE('3DA by Week'!$S$3:$S$13,A11),'3DA by Week'!$S$3:$S$13,0))</f>
        <v/>
      </c>
      <c r="C11">
        <f>INDEX('3DA by Week'!$O$3:$O$13,MATCH($B11,'3DA by Week'!$A$3:$A$13,0))</f>
        <v/>
      </c>
      <c r="D11" s="3">
        <f>INDEX('3DA by Week'!$L$3:$L$13,MATCH($B11,'3DA by Week'!$A$3:$A$13,0))</f>
        <v/>
      </c>
      <c r="E11" s="3">
        <f>INDEX('3DA by Week'!$P$3:$P$13,MATCH($B11,'3DA by Week'!$A$3:$A$13,0))</f>
        <v/>
      </c>
      <c r="F11" s="8">
        <f>IF(OR(C11&lt;2,NOT(ISNUMBER(D11))),"",E11/D11-1)</f>
        <v/>
      </c>
      <c r="G11">
        <f>IF(OR(C11&lt;2,NOT(ISNUMBER(D11))),"—",IF(E11&gt;=D11*1.05,"Hot",IF(E11&lt;=D11*0.95,"Cold","Steady")))</f>
        <v/>
      </c>
      <c r="H11" s="3">
        <f>INDEX('MPR by Week'!$L$3:$L$13,MATCH($B11,'3DA by Week'!$A$3:$A$13,0))</f>
        <v/>
      </c>
      <c r="I11" s="4">
        <f>INDEX('DO% by Week'!$L$3:$L$13,MATCH($B11,'3DA by Week'!$A$3:$A$13,0))</f>
        <v/>
      </c>
      <c r="J11">
        <f>INDEX('3DA by Week'!$Q$3:$Q$13,MATCH($B11,'3DA by Week'!$A$3:$A$13,0))</f>
        <v/>
      </c>
    </row>
    <row r="12">
      <c r="A12" t="n">
        <v>11</v>
      </c>
      <c r="B12" s="5">
        <f>INDEX('3DA by Week'!$A$3:$A$13,MATCH(LARGE('3DA by Week'!$S$3:$S$13,A12),'3DA by Week'!$S$3:$S$13,0))</f>
        <v/>
      </c>
      <c r="C12">
        <f>INDEX('3DA by Week'!$O$3:$O$13,MATCH($B12,'3DA by Week'!$A$3:$A$13,0))</f>
        <v/>
      </c>
      <c r="D12" s="3">
        <f>INDEX('3DA by Week'!$L$3:$L$13,MATCH($B12,'3DA by Week'!$A$3:$A$13,0))</f>
        <v/>
      </c>
      <c r="E12" s="3">
        <f>INDEX('3DA by Week'!$P$3:$P$13,MATCH($B12,'3DA by Week'!$A$3:$A$13,0))</f>
        <v/>
      </c>
      <c r="F12" s="8">
        <f>IF(OR(C12&lt;2,NOT(ISNUMBER(D12))),"",E12/D12-1)</f>
        <v/>
      </c>
      <c r="G12">
        <f>IF(OR(C12&lt;2,NOT(ISNUMBER(D12))),"—",IF(E12&gt;=D12*1.05,"Hot",IF(E12&lt;=D12*0.95,"Cold","Steady")))</f>
        <v/>
      </c>
      <c r="H12" s="3">
        <f>INDEX('MPR by Week'!$L$3:$L$13,MATCH($B12,'3DA by Week'!$A$3:$A$13,0))</f>
        <v/>
      </c>
      <c r="I12" s="4">
        <f>INDEX('DO% by Week'!$L$3:$L$13,MATCH($B12,'3DA by Week'!$A$3:$A$13,0))</f>
        <v/>
      </c>
      <c r="J12">
        <f>INDEX('3DA by Week'!$Q$3:$Q$13,MATCH($B12,'3DA by Week'!$A$3:$A$13,0))</f>
        <v/>
      </c>
    </row>
    <row r="14">
      <c r="A14" s="1" t="inlineStr">
        <is>
          <t>Team</t>
        </is>
      </c>
      <c r="B14" s="1" t="inlineStr">
        <is>
          <t>W1 (9/17)</t>
        </is>
      </c>
      <c r="C14" s="1" t="inlineStr">
        <is>
          <t>W2 (9/24)</t>
        </is>
      </c>
      <c r="D14" s="1" t="inlineStr">
        <is>
          <t>W3 (10/1)</t>
        </is>
      </c>
      <c r="E14" s="1" t="inlineStr">
        <is>
          <t>W4 (10/8)</t>
        </is>
      </c>
      <c r="F14" s="1" t="inlineStr">
        <is>
          <t>W5 (10/15)</t>
        </is>
      </c>
      <c r="G14" s="1" t="inlineStr">
        <is>
          <t>W6 (10/22)</t>
        </is>
      </c>
      <c r="H14" s="1" t="inlineStr">
        <is>
          <t>W7 (10/29)</t>
        </is>
      </c>
      <c r="I14" s="1" t="inlineStr">
        <is>
          <t>W8 (11/5)</t>
        </is>
      </c>
      <c r="J14" s="1" t="inlineStr">
        <is>
          <t>W9 (11/12)</t>
        </is>
      </c>
      <c r="K14" s="1" t="inlineStr">
        <is>
          <t>W10 (11/19)</t>
        </is>
      </c>
      <c r="L14" s="1" t="inlineStr">
        <is>
          <t>Season</t>
        </is>
      </c>
    </row>
    <row r="15">
      <c r="A15" s="6" t="inlineStr">
        <is>
          <t>Team 3DA</t>
        </is>
      </c>
      <c r="B15" s="11">
        <f>'3DA by Week'!B14</f>
        <v/>
      </c>
      <c r="C15" s="11">
        <f>'3DA by Week'!C14</f>
        <v/>
      </c>
      <c r="D15" s="11">
        <f>'3DA by Week'!D14</f>
        <v/>
      </c>
      <c r="E15" s="11">
        <f>'3DA by Week'!E14</f>
        <v/>
      </c>
      <c r="F15" s="11">
        <f>'3DA by Week'!F14</f>
        <v/>
      </c>
      <c r="G15" s="11">
        <f>'3DA by Week'!G14</f>
        <v/>
      </c>
      <c r="H15" s="11">
        <f>'3DA by Week'!H14</f>
        <v/>
      </c>
      <c r="I15" s="11">
        <f>'3DA by Week'!I14</f>
        <v/>
      </c>
      <c r="J15" s="11">
        <f>'3DA by Week'!J14</f>
        <v/>
      </c>
      <c r="K15" s="11">
        <f>'3DA by Week'!K14</f>
        <v/>
      </c>
      <c r="L15" s="11">
        <f>'3DA by Week'!L14</f>
        <v/>
      </c>
    </row>
    <row r="16">
      <c r="A16" s="6" t="inlineStr">
        <is>
          <t>Team PPD</t>
        </is>
      </c>
      <c r="B16" s="11">
        <f>'PPD by Week'!B14</f>
        <v/>
      </c>
      <c r="C16" s="11">
        <f>'PPD by Week'!C14</f>
        <v/>
      </c>
      <c r="D16" s="11">
        <f>'PPD by Week'!D14</f>
        <v/>
      </c>
      <c r="E16" s="11">
        <f>'PPD by Week'!E14</f>
        <v/>
      </c>
      <c r="F16" s="11">
        <f>'PPD by Week'!F14</f>
        <v/>
      </c>
      <c r="G16" s="11">
        <f>'PPD by Week'!G14</f>
        <v/>
      </c>
      <c r="H16" s="11">
        <f>'PPD by Week'!H14</f>
        <v/>
      </c>
      <c r="I16" s="11">
        <f>'PPD by Week'!I14</f>
        <v/>
      </c>
      <c r="J16" s="11">
        <f>'PPD by Week'!J14</f>
        <v/>
      </c>
      <c r="K16" s="11">
        <f>'PPD by Week'!K14</f>
        <v/>
      </c>
      <c r="L16" s="11">
        <f>'PPD by Week'!L14</f>
        <v/>
      </c>
    </row>
    <row r="17">
      <c r="A17" s="6" t="inlineStr">
        <is>
          <t>Team MPR</t>
        </is>
      </c>
      <c r="B17" s="11">
        <f>'MPR by Week'!B14</f>
        <v/>
      </c>
      <c r="C17" s="11">
        <f>'MPR by Week'!C14</f>
        <v/>
      </c>
      <c r="D17" s="11">
        <f>'MPR by Week'!D14</f>
        <v/>
      </c>
      <c r="E17" s="11">
        <f>'MPR by Week'!E14</f>
        <v/>
      </c>
      <c r="F17" s="11">
        <f>'MPR by Week'!F14</f>
        <v/>
      </c>
      <c r="G17" s="11">
        <f>'MPR by Week'!G14</f>
        <v/>
      </c>
      <c r="H17" s="11">
        <f>'MPR by Week'!H14</f>
        <v/>
      </c>
      <c r="I17" s="11">
        <f>'MPR by Week'!I14</f>
        <v/>
      </c>
      <c r="J17" s="11">
        <f>'MPR by Week'!J14</f>
        <v/>
      </c>
      <c r="K17" s="11">
        <f>'MPR by Week'!K14</f>
        <v/>
      </c>
      <c r="L17" s="11">
        <f>'MPR by Week'!L14</f>
        <v/>
      </c>
    </row>
    <row r="18">
      <c r="A18" s="6" t="inlineStr">
        <is>
          <t>Team DO%</t>
        </is>
      </c>
      <c r="B18" s="12">
        <f>'DO% by Week'!B14</f>
        <v/>
      </c>
      <c r="C18" s="12">
        <f>'DO% by Week'!C14</f>
        <v/>
      </c>
      <c r="D18" s="12">
        <f>'DO% by Week'!D14</f>
        <v/>
      </c>
      <c r="E18" s="12">
        <f>'DO% by Week'!E14</f>
        <v/>
      </c>
      <c r="F18" s="12">
        <f>'DO% by Week'!F14</f>
        <v/>
      </c>
      <c r="G18" s="12">
        <f>'DO% by Week'!G14</f>
        <v/>
      </c>
      <c r="H18" s="12">
        <f>'DO% by Week'!H14</f>
        <v/>
      </c>
      <c r="I18" s="12">
        <f>'DO% by Week'!I14</f>
        <v/>
      </c>
      <c r="J18" s="12">
        <f>'DO% by Week'!J14</f>
        <v/>
      </c>
      <c r="K18" s="12">
        <f>'DO% by Week'!K14</f>
        <v/>
      </c>
      <c r="L18" s="12">
        <f>'DO% by Week'!L14</f>
        <v/>
      </c>
    </row>
    <row r="20">
      <c r="A20" s="10" t="inlineStr">
        <is>
          <t>Trend: Hot = latest 3DA ≥ 105% of season 3DA; Cold = ≤ 95%; else Steady; — = fewer than 2 weeks played. Season stats are weighted (total points/total darts).</t>
        </is>
      </c>
    </row>
  </sheetData>
  <conditionalFormatting sqref="G2:G12">
    <cfRule type="cellIs" priority="1" operator="equal" dxfId="0">
      <formula>"Hot"</formula>
    </cfRule>
    <cfRule type="cellIs" priority="2" operator="equal" dxfId="1">
      <formula>"Cold"</formula>
    </cfRule>
  </conditionalFormatting>
  <conditionalFormatting sqref="F2:F12">
    <cfRule type="expression" priority="3" dxfId="2">
      <formula>AND(ISNUMBER(F2),F2&gt;0)</formula>
    </cfRule>
    <cfRule type="expression" priority="4" dxfId="3">
      <formula>AND(ISNUMBER(F2),F2&lt;0)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MPR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3">
        <f>IFERROR(SUMIFS(Data!$I:$I,Data!$A:$A,B$2,Data!$D:$D,$A3)/SUMIFS(Data!$J:$J,Data!$A:$A,B$2,Data!$D:$D,$A3)*3,"")</f>
        <v/>
      </c>
      <c r="C3" s="3">
        <f>IFERROR(SUMIFS(Data!$I:$I,Data!$A:$A,C$2,Data!$D:$D,$A3)/SUMIFS(Data!$J:$J,Data!$A:$A,C$2,Data!$D:$D,$A3)*3,"")</f>
        <v/>
      </c>
      <c r="D3" s="3">
        <f>IFERROR(SUMIFS(Data!$I:$I,Data!$A:$A,D$2,Data!$D:$D,$A3)/SUMIFS(Data!$J:$J,Data!$A:$A,D$2,Data!$D:$D,$A3)*3,"")</f>
        <v/>
      </c>
      <c r="E3" s="3">
        <f>IFERROR(SUMIFS(Data!$I:$I,Data!$A:$A,E$2,Data!$D:$D,$A3)/SUMIFS(Data!$J:$J,Data!$A:$A,E$2,Data!$D:$D,$A3)*3,"")</f>
        <v/>
      </c>
      <c r="F3" s="3">
        <f>IFERROR(SUMIFS(Data!$I:$I,Data!$A:$A,F$2,Data!$D:$D,$A3)/SUMIFS(Data!$J:$J,Data!$A:$A,F$2,Data!$D:$D,$A3)*3,"")</f>
        <v/>
      </c>
      <c r="G3" s="3">
        <f>IFERROR(SUMIFS(Data!$I:$I,Data!$A:$A,G$2,Data!$D:$D,$A3)/SUMIFS(Data!$J:$J,Data!$A:$A,G$2,Data!$D:$D,$A3)*3,"")</f>
        <v/>
      </c>
      <c r="H3" s="3">
        <f>IFERROR(SUMIFS(Data!$I:$I,Data!$A:$A,H$2,Data!$D:$D,$A3)/SUMIFS(Data!$J:$J,Data!$A:$A,H$2,Data!$D:$D,$A3)*3,"")</f>
        <v/>
      </c>
      <c r="I3" s="3">
        <f>IFERROR(SUMIFS(Data!$I:$I,Data!$A:$A,I$2,Data!$D:$D,$A3)/SUMIFS(Data!$J:$J,Data!$A:$A,I$2,Data!$D:$D,$A3)*3,"")</f>
        <v/>
      </c>
      <c r="J3" s="3">
        <f>IFERROR(SUMIFS(Data!$I:$I,Data!$A:$A,J$2,Data!$D:$D,$A3)/SUMIFS(Data!$J:$J,Data!$A:$A,J$2,Data!$D:$D,$A3)*3,"")</f>
        <v/>
      </c>
      <c r="K3" s="3">
        <f>IFERROR(SUMIFS(Data!$I:$I,Data!$A:$A,K$2,Data!$D:$D,$A3)/SUMIFS(Data!$J:$J,Data!$A:$A,K$2,Data!$D:$D,$A3)*3,"")</f>
        <v/>
      </c>
      <c r="L3" s="3">
        <f>IFERROR(SUMIFS(Data!$I:$I,Data!$D:$D,$A3)/SUMIFS(Data!$J:$J,Data!$D:$D,$A3)*3,"")</f>
        <v/>
      </c>
      <c r="M3" s="3">
        <f>IF(COUNT(B3:K3)=0,"",MAX(B3:K3))</f>
        <v/>
      </c>
      <c r="N3" s="3">
        <f>IF(COUNT(B3:K3)=0,"",MIN(B3:K3))</f>
        <v/>
      </c>
      <c r="O3">
        <f>COUNT(B3:K3)</f>
        <v/>
      </c>
      <c r="P3" s="3">
        <f>IF(COUNT(B3:K3)=0,"",INDEX(B3:K3,_xlfn.MAXIFS($B$2:$K$2,B3:K3,"&gt;=0")))</f>
        <v/>
      </c>
      <c r="Q3">
        <f>IF(COUNT(B3:K3)=0,"","W"&amp;INDEX($B$2:$K$2,MATCH(M3,B3:K3,0)))</f>
        <v/>
      </c>
    </row>
    <row r="4">
      <c r="A4" s="5" t="inlineStr">
        <is>
          <t>Jeff Broderick</t>
        </is>
      </c>
      <c r="B4" s="3">
        <f>IFERROR(SUMIFS(Data!$I:$I,Data!$A:$A,B$2,Data!$D:$D,$A4)/SUMIFS(Data!$J:$J,Data!$A:$A,B$2,Data!$D:$D,$A4)*3,"")</f>
        <v/>
      </c>
      <c r="C4" s="3">
        <f>IFERROR(SUMIFS(Data!$I:$I,Data!$A:$A,C$2,Data!$D:$D,$A4)/SUMIFS(Data!$J:$J,Data!$A:$A,C$2,Data!$D:$D,$A4)*3,"")</f>
        <v/>
      </c>
      <c r="D4" s="3">
        <f>IFERROR(SUMIFS(Data!$I:$I,Data!$A:$A,D$2,Data!$D:$D,$A4)/SUMIFS(Data!$J:$J,Data!$A:$A,D$2,Data!$D:$D,$A4)*3,"")</f>
        <v/>
      </c>
      <c r="E4" s="3">
        <f>IFERROR(SUMIFS(Data!$I:$I,Data!$A:$A,E$2,Data!$D:$D,$A4)/SUMIFS(Data!$J:$J,Data!$A:$A,E$2,Data!$D:$D,$A4)*3,"")</f>
        <v/>
      </c>
      <c r="F4" s="3">
        <f>IFERROR(SUMIFS(Data!$I:$I,Data!$A:$A,F$2,Data!$D:$D,$A4)/SUMIFS(Data!$J:$J,Data!$A:$A,F$2,Data!$D:$D,$A4)*3,"")</f>
        <v/>
      </c>
      <c r="G4" s="3">
        <f>IFERROR(SUMIFS(Data!$I:$I,Data!$A:$A,G$2,Data!$D:$D,$A4)/SUMIFS(Data!$J:$J,Data!$A:$A,G$2,Data!$D:$D,$A4)*3,"")</f>
        <v/>
      </c>
      <c r="H4" s="3">
        <f>IFERROR(SUMIFS(Data!$I:$I,Data!$A:$A,H$2,Data!$D:$D,$A4)/SUMIFS(Data!$J:$J,Data!$A:$A,H$2,Data!$D:$D,$A4)*3,"")</f>
        <v/>
      </c>
      <c r="I4" s="3">
        <f>IFERROR(SUMIFS(Data!$I:$I,Data!$A:$A,I$2,Data!$D:$D,$A4)/SUMIFS(Data!$J:$J,Data!$A:$A,I$2,Data!$D:$D,$A4)*3,"")</f>
        <v/>
      </c>
      <c r="J4" s="3">
        <f>IFERROR(SUMIFS(Data!$I:$I,Data!$A:$A,J$2,Data!$D:$D,$A4)/SUMIFS(Data!$J:$J,Data!$A:$A,J$2,Data!$D:$D,$A4)*3,"")</f>
        <v/>
      </c>
      <c r="K4" s="3">
        <f>IFERROR(SUMIFS(Data!$I:$I,Data!$A:$A,K$2,Data!$D:$D,$A4)/SUMIFS(Data!$J:$J,Data!$A:$A,K$2,Data!$D:$D,$A4)*3,"")</f>
        <v/>
      </c>
      <c r="L4" s="3">
        <f>IFERROR(SUMIFS(Data!$I:$I,Data!$D:$D,$A4)/SUMIFS(Data!$J:$J,Data!$D:$D,$A4)*3,"")</f>
        <v/>
      </c>
      <c r="M4" s="3">
        <f>IF(COUNT(B4:K4)=0,"",MAX(B4:K4))</f>
        <v/>
      </c>
      <c r="N4" s="3">
        <f>IF(COUNT(B4:K4)=0,"",MIN(B4:K4))</f>
        <v/>
      </c>
      <c r="O4">
        <f>COUNT(B4:K4)</f>
        <v/>
      </c>
      <c r="P4" s="3">
        <f>IF(COUNT(B4:K4)=0,"",INDEX(B4:K4,_xlfn.MAXIFS($B$2:$K$2,B4:K4,"&gt;=0")))</f>
        <v/>
      </c>
      <c r="Q4">
        <f>IF(COUNT(B4:K4)=0,"","W"&amp;INDEX($B$2:$K$2,MATCH(M4,B4:K4,0)))</f>
        <v/>
      </c>
    </row>
    <row r="5">
      <c r="A5" s="5" t="inlineStr">
        <is>
          <t>Captain (Vince Clemins)</t>
        </is>
      </c>
      <c r="B5" s="3">
        <f>IFERROR(SUMIFS(Data!$I:$I,Data!$A:$A,B$2,Data!$D:$D,$A5)/SUMIFS(Data!$J:$J,Data!$A:$A,B$2,Data!$D:$D,$A5)*3,"")</f>
        <v/>
      </c>
      <c r="C5" s="3">
        <f>IFERROR(SUMIFS(Data!$I:$I,Data!$A:$A,C$2,Data!$D:$D,$A5)/SUMIFS(Data!$J:$J,Data!$A:$A,C$2,Data!$D:$D,$A5)*3,"")</f>
        <v/>
      </c>
      <c r="D5" s="3">
        <f>IFERROR(SUMIFS(Data!$I:$I,Data!$A:$A,D$2,Data!$D:$D,$A5)/SUMIFS(Data!$J:$J,Data!$A:$A,D$2,Data!$D:$D,$A5)*3,"")</f>
        <v/>
      </c>
      <c r="E5" s="3">
        <f>IFERROR(SUMIFS(Data!$I:$I,Data!$A:$A,E$2,Data!$D:$D,$A5)/SUMIFS(Data!$J:$J,Data!$A:$A,E$2,Data!$D:$D,$A5)*3,"")</f>
        <v/>
      </c>
      <c r="F5" s="3">
        <f>IFERROR(SUMIFS(Data!$I:$I,Data!$A:$A,F$2,Data!$D:$D,$A5)/SUMIFS(Data!$J:$J,Data!$A:$A,F$2,Data!$D:$D,$A5)*3,"")</f>
        <v/>
      </c>
      <c r="G5" s="3">
        <f>IFERROR(SUMIFS(Data!$I:$I,Data!$A:$A,G$2,Data!$D:$D,$A5)/SUMIFS(Data!$J:$J,Data!$A:$A,G$2,Data!$D:$D,$A5)*3,"")</f>
        <v/>
      </c>
      <c r="H5" s="3">
        <f>IFERROR(SUMIFS(Data!$I:$I,Data!$A:$A,H$2,Data!$D:$D,$A5)/SUMIFS(Data!$J:$J,Data!$A:$A,H$2,Data!$D:$D,$A5)*3,"")</f>
        <v/>
      </c>
      <c r="I5" s="3">
        <f>IFERROR(SUMIFS(Data!$I:$I,Data!$A:$A,I$2,Data!$D:$D,$A5)/SUMIFS(Data!$J:$J,Data!$A:$A,I$2,Data!$D:$D,$A5)*3,"")</f>
        <v/>
      </c>
      <c r="J5" s="3">
        <f>IFERROR(SUMIFS(Data!$I:$I,Data!$A:$A,J$2,Data!$D:$D,$A5)/SUMIFS(Data!$J:$J,Data!$A:$A,J$2,Data!$D:$D,$A5)*3,"")</f>
        <v/>
      </c>
      <c r="K5" s="3">
        <f>IFERROR(SUMIFS(Data!$I:$I,Data!$A:$A,K$2,Data!$D:$D,$A5)/SUMIFS(Data!$J:$J,Data!$A:$A,K$2,Data!$D:$D,$A5)*3,"")</f>
        <v/>
      </c>
      <c r="L5" s="3">
        <f>IFERROR(SUMIFS(Data!$I:$I,Data!$D:$D,$A5)/SUMIFS(Data!$J:$J,Data!$D:$D,$A5)*3,"")</f>
        <v/>
      </c>
      <c r="M5" s="3">
        <f>IF(COUNT(B5:K5)=0,"",MAX(B5:K5))</f>
        <v/>
      </c>
      <c r="N5" s="3">
        <f>IF(COUNT(B5:K5)=0,"",MIN(B5:K5))</f>
        <v/>
      </c>
      <c r="O5">
        <f>COUNT(B5:K5)</f>
        <v/>
      </c>
      <c r="P5" s="3">
        <f>IF(COUNT(B5:K5)=0,"",INDEX(B5:K5,_xlfn.MAXIFS($B$2:$K$2,B5:K5,"&gt;=0")))</f>
        <v/>
      </c>
      <c r="Q5">
        <f>IF(COUNT(B5:K5)=0,"","W"&amp;INDEX($B$2:$K$2,MATCH(M5,B5:K5,0)))</f>
        <v/>
      </c>
    </row>
    <row r="6">
      <c r="A6" s="5" t="inlineStr">
        <is>
          <t>Al Fromenko</t>
        </is>
      </c>
      <c r="B6" s="3">
        <f>IFERROR(SUMIFS(Data!$I:$I,Data!$A:$A,B$2,Data!$D:$D,$A6)/SUMIFS(Data!$J:$J,Data!$A:$A,B$2,Data!$D:$D,$A6)*3,"")</f>
        <v/>
      </c>
      <c r="C6" s="3">
        <f>IFERROR(SUMIFS(Data!$I:$I,Data!$A:$A,C$2,Data!$D:$D,$A6)/SUMIFS(Data!$J:$J,Data!$A:$A,C$2,Data!$D:$D,$A6)*3,"")</f>
        <v/>
      </c>
      <c r="D6" s="3">
        <f>IFERROR(SUMIFS(Data!$I:$I,Data!$A:$A,D$2,Data!$D:$D,$A6)/SUMIFS(Data!$J:$J,Data!$A:$A,D$2,Data!$D:$D,$A6)*3,"")</f>
        <v/>
      </c>
      <c r="E6" s="3">
        <f>IFERROR(SUMIFS(Data!$I:$I,Data!$A:$A,E$2,Data!$D:$D,$A6)/SUMIFS(Data!$J:$J,Data!$A:$A,E$2,Data!$D:$D,$A6)*3,"")</f>
        <v/>
      </c>
      <c r="F6" s="3">
        <f>IFERROR(SUMIFS(Data!$I:$I,Data!$A:$A,F$2,Data!$D:$D,$A6)/SUMIFS(Data!$J:$J,Data!$A:$A,F$2,Data!$D:$D,$A6)*3,"")</f>
        <v/>
      </c>
      <c r="G6" s="3">
        <f>IFERROR(SUMIFS(Data!$I:$I,Data!$A:$A,G$2,Data!$D:$D,$A6)/SUMIFS(Data!$J:$J,Data!$A:$A,G$2,Data!$D:$D,$A6)*3,"")</f>
        <v/>
      </c>
      <c r="H6" s="3">
        <f>IFERROR(SUMIFS(Data!$I:$I,Data!$A:$A,H$2,Data!$D:$D,$A6)/SUMIFS(Data!$J:$J,Data!$A:$A,H$2,Data!$D:$D,$A6)*3,"")</f>
        <v/>
      </c>
      <c r="I6" s="3">
        <f>IFERROR(SUMIFS(Data!$I:$I,Data!$A:$A,I$2,Data!$D:$D,$A6)/SUMIFS(Data!$J:$J,Data!$A:$A,I$2,Data!$D:$D,$A6)*3,"")</f>
        <v/>
      </c>
      <c r="J6" s="3">
        <f>IFERROR(SUMIFS(Data!$I:$I,Data!$A:$A,J$2,Data!$D:$D,$A6)/SUMIFS(Data!$J:$J,Data!$A:$A,J$2,Data!$D:$D,$A6)*3,"")</f>
        <v/>
      </c>
      <c r="K6" s="3">
        <f>IFERROR(SUMIFS(Data!$I:$I,Data!$A:$A,K$2,Data!$D:$D,$A6)/SUMIFS(Data!$J:$J,Data!$A:$A,K$2,Data!$D:$D,$A6)*3,"")</f>
        <v/>
      </c>
      <c r="L6" s="3">
        <f>IFERROR(SUMIFS(Data!$I:$I,Data!$D:$D,$A6)/SUMIFS(Data!$J:$J,Data!$D:$D,$A6)*3,"")</f>
        <v/>
      </c>
      <c r="M6" s="3">
        <f>IF(COUNT(B6:K6)=0,"",MAX(B6:K6))</f>
        <v/>
      </c>
      <c r="N6" s="3">
        <f>IF(COUNT(B6:K6)=0,"",MIN(B6:K6))</f>
        <v/>
      </c>
      <c r="O6">
        <f>COUNT(B6:K6)</f>
        <v/>
      </c>
      <c r="P6" s="3">
        <f>IF(COUNT(B6:K6)=0,"",INDEX(B6:K6,_xlfn.MAXIFS($B$2:$K$2,B6:K6,"&gt;=0")))</f>
        <v/>
      </c>
      <c r="Q6">
        <f>IF(COUNT(B6:K6)=0,"","W"&amp;INDEX($B$2:$K$2,MATCH(M6,B6:K6,0)))</f>
        <v/>
      </c>
    </row>
    <row r="7">
      <c r="A7" s="5" t="inlineStr">
        <is>
          <t>Bill Prelle</t>
        </is>
      </c>
      <c r="B7" s="3">
        <f>IFERROR(SUMIFS(Data!$I:$I,Data!$A:$A,B$2,Data!$D:$D,$A7)/SUMIFS(Data!$J:$J,Data!$A:$A,B$2,Data!$D:$D,$A7)*3,"")</f>
        <v/>
      </c>
      <c r="C7" s="3">
        <f>IFERROR(SUMIFS(Data!$I:$I,Data!$A:$A,C$2,Data!$D:$D,$A7)/SUMIFS(Data!$J:$J,Data!$A:$A,C$2,Data!$D:$D,$A7)*3,"")</f>
        <v/>
      </c>
      <c r="D7" s="3">
        <f>IFERROR(SUMIFS(Data!$I:$I,Data!$A:$A,D$2,Data!$D:$D,$A7)/SUMIFS(Data!$J:$J,Data!$A:$A,D$2,Data!$D:$D,$A7)*3,"")</f>
        <v/>
      </c>
      <c r="E7" s="3">
        <f>IFERROR(SUMIFS(Data!$I:$I,Data!$A:$A,E$2,Data!$D:$D,$A7)/SUMIFS(Data!$J:$J,Data!$A:$A,E$2,Data!$D:$D,$A7)*3,"")</f>
        <v/>
      </c>
      <c r="F7" s="3">
        <f>IFERROR(SUMIFS(Data!$I:$I,Data!$A:$A,F$2,Data!$D:$D,$A7)/SUMIFS(Data!$J:$J,Data!$A:$A,F$2,Data!$D:$D,$A7)*3,"")</f>
        <v/>
      </c>
      <c r="G7" s="3">
        <f>IFERROR(SUMIFS(Data!$I:$I,Data!$A:$A,G$2,Data!$D:$D,$A7)/SUMIFS(Data!$J:$J,Data!$A:$A,G$2,Data!$D:$D,$A7)*3,"")</f>
        <v/>
      </c>
      <c r="H7" s="3">
        <f>IFERROR(SUMIFS(Data!$I:$I,Data!$A:$A,H$2,Data!$D:$D,$A7)/SUMIFS(Data!$J:$J,Data!$A:$A,H$2,Data!$D:$D,$A7)*3,"")</f>
        <v/>
      </c>
      <c r="I7" s="3">
        <f>IFERROR(SUMIFS(Data!$I:$I,Data!$A:$A,I$2,Data!$D:$D,$A7)/SUMIFS(Data!$J:$J,Data!$A:$A,I$2,Data!$D:$D,$A7)*3,"")</f>
        <v/>
      </c>
      <c r="J7" s="3">
        <f>IFERROR(SUMIFS(Data!$I:$I,Data!$A:$A,J$2,Data!$D:$D,$A7)/SUMIFS(Data!$J:$J,Data!$A:$A,J$2,Data!$D:$D,$A7)*3,"")</f>
        <v/>
      </c>
      <c r="K7" s="3">
        <f>IFERROR(SUMIFS(Data!$I:$I,Data!$A:$A,K$2,Data!$D:$D,$A7)/SUMIFS(Data!$J:$J,Data!$A:$A,K$2,Data!$D:$D,$A7)*3,"")</f>
        <v/>
      </c>
      <c r="L7" s="3">
        <f>IFERROR(SUMIFS(Data!$I:$I,Data!$D:$D,$A7)/SUMIFS(Data!$J:$J,Data!$D:$D,$A7)*3,"")</f>
        <v/>
      </c>
      <c r="M7" s="3">
        <f>IF(COUNT(B7:K7)=0,"",MAX(B7:K7))</f>
        <v/>
      </c>
      <c r="N7" s="3">
        <f>IF(COUNT(B7:K7)=0,"",MIN(B7:K7))</f>
        <v/>
      </c>
      <c r="O7">
        <f>COUNT(B7:K7)</f>
        <v/>
      </c>
      <c r="P7" s="3">
        <f>IF(COUNT(B7:K7)=0,"",INDEX(B7:K7,_xlfn.MAXIFS($B$2:$K$2,B7:K7,"&gt;=0")))</f>
        <v/>
      </c>
      <c r="Q7">
        <f>IF(COUNT(B7:K7)=0,"","W"&amp;INDEX($B$2:$K$2,MATCH(M7,B7:K7,0)))</f>
        <v/>
      </c>
    </row>
    <row r="8">
      <c r="A8" s="5" t="inlineStr">
        <is>
          <t>Keith McCarthy</t>
        </is>
      </c>
      <c r="B8" s="3">
        <f>IFERROR(SUMIFS(Data!$I:$I,Data!$A:$A,B$2,Data!$D:$D,$A8)/SUMIFS(Data!$J:$J,Data!$A:$A,B$2,Data!$D:$D,$A8)*3,"")</f>
        <v/>
      </c>
      <c r="C8" s="3">
        <f>IFERROR(SUMIFS(Data!$I:$I,Data!$A:$A,C$2,Data!$D:$D,$A8)/SUMIFS(Data!$J:$J,Data!$A:$A,C$2,Data!$D:$D,$A8)*3,"")</f>
        <v/>
      </c>
      <c r="D8" s="3">
        <f>IFERROR(SUMIFS(Data!$I:$I,Data!$A:$A,D$2,Data!$D:$D,$A8)/SUMIFS(Data!$J:$J,Data!$A:$A,D$2,Data!$D:$D,$A8)*3,"")</f>
        <v/>
      </c>
      <c r="E8" s="3">
        <f>IFERROR(SUMIFS(Data!$I:$I,Data!$A:$A,E$2,Data!$D:$D,$A8)/SUMIFS(Data!$J:$J,Data!$A:$A,E$2,Data!$D:$D,$A8)*3,"")</f>
        <v/>
      </c>
      <c r="F8" s="3">
        <f>IFERROR(SUMIFS(Data!$I:$I,Data!$A:$A,F$2,Data!$D:$D,$A8)/SUMIFS(Data!$J:$J,Data!$A:$A,F$2,Data!$D:$D,$A8)*3,"")</f>
        <v/>
      </c>
      <c r="G8" s="3">
        <f>IFERROR(SUMIFS(Data!$I:$I,Data!$A:$A,G$2,Data!$D:$D,$A8)/SUMIFS(Data!$J:$J,Data!$A:$A,G$2,Data!$D:$D,$A8)*3,"")</f>
        <v/>
      </c>
      <c r="H8" s="3">
        <f>IFERROR(SUMIFS(Data!$I:$I,Data!$A:$A,H$2,Data!$D:$D,$A8)/SUMIFS(Data!$J:$J,Data!$A:$A,H$2,Data!$D:$D,$A8)*3,"")</f>
        <v/>
      </c>
      <c r="I8" s="3">
        <f>IFERROR(SUMIFS(Data!$I:$I,Data!$A:$A,I$2,Data!$D:$D,$A8)/SUMIFS(Data!$J:$J,Data!$A:$A,I$2,Data!$D:$D,$A8)*3,"")</f>
        <v/>
      </c>
      <c r="J8" s="3">
        <f>IFERROR(SUMIFS(Data!$I:$I,Data!$A:$A,J$2,Data!$D:$D,$A8)/SUMIFS(Data!$J:$J,Data!$A:$A,J$2,Data!$D:$D,$A8)*3,"")</f>
        <v/>
      </c>
      <c r="K8" s="3">
        <f>IFERROR(SUMIFS(Data!$I:$I,Data!$A:$A,K$2,Data!$D:$D,$A8)/SUMIFS(Data!$J:$J,Data!$A:$A,K$2,Data!$D:$D,$A8)*3,"")</f>
        <v/>
      </c>
      <c r="L8" s="3">
        <f>IFERROR(SUMIFS(Data!$I:$I,Data!$D:$D,$A8)/SUMIFS(Data!$J:$J,Data!$D:$D,$A8)*3,"")</f>
        <v/>
      </c>
      <c r="M8" s="3">
        <f>IF(COUNT(B8:K8)=0,"",MAX(B8:K8))</f>
        <v/>
      </c>
      <c r="N8" s="3">
        <f>IF(COUNT(B8:K8)=0,"",MIN(B8:K8))</f>
        <v/>
      </c>
      <c r="O8">
        <f>COUNT(B8:K8)</f>
        <v/>
      </c>
      <c r="P8" s="3">
        <f>IF(COUNT(B8:K8)=0,"",INDEX(B8:K8,_xlfn.MAXIFS($B$2:$K$2,B8:K8,"&gt;=0")))</f>
        <v/>
      </c>
      <c r="Q8">
        <f>IF(COUNT(B8:K8)=0,"","W"&amp;INDEX($B$2:$K$2,MATCH(M8,B8:K8,0)))</f>
        <v/>
      </c>
    </row>
    <row r="9">
      <c r="A9" s="5" t="inlineStr">
        <is>
          <t>Tom Davis</t>
        </is>
      </c>
      <c r="B9" s="3">
        <f>IFERROR(SUMIFS(Data!$I:$I,Data!$A:$A,B$2,Data!$D:$D,$A9)/SUMIFS(Data!$J:$J,Data!$A:$A,B$2,Data!$D:$D,$A9)*3,"")</f>
        <v/>
      </c>
      <c r="C9" s="3">
        <f>IFERROR(SUMIFS(Data!$I:$I,Data!$A:$A,C$2,Data!$D:$D,$A9)/SUMIFS(Data!$J:$J,Data!$A:$A,C$2,Data!$D:$D,$A9)*3,"")</f>
        <v/>
      </c>
      <c r="D9" s="3">
        <f>IFERROR(SUMIFS(Data!$I:$I,Data!$A:$A,D$2,Data!$D:$D,$A9)/SUMIFS(Data!$J:$J,Data!$A:$A,D$2,Data!$D:$D,$A9)*3,"")</f>
        <v/>
      </c>
      <c r="E9" s="3">
        <f>IFERROR(SUMIFS(Data!$I:$I,Data!$A:$A,E$2,Data!$D:$D,$A9)/SUMIFS(Data!$J:$J,Data!$A:$A,E$2,Data!$D:$D,$A9)*3,"")</f>
        <v/>
      </c>
      <c r="F9" s="3">
        <f>IFERROR(SUMIFS(Data!$I:$I,Data!$A:$A,F$2,Data!$D:$D,$A9)/SUMIFS(Data!$J:$J,Data!$A:$A,F$2,Data!$D:$D,$A9)*3,"")</f>
        <v/>
      </c>
      <c r="G9" s="3">
        <f>IFERROR(SUMIFS(Data!$I:$I,Data!$A:$A,G$2,Data!$D:$D,$A9)/SUMIFS(Data!$J:$J,Data!$A:$A,G$2,Data!$D:$D,$A9)*3,"")</f>
        <v/>
      </c>
      <c r="H9" s="3">
        <f>IFERROR(SUMIFS(Data!$I:$I,Data!$A:$A,H$2,Data!$D:$D,$A9)/SUMIFS(Data!$J:$J,Data!$A:$A,H$2,Data!$D:$D,$A9)*3,"")</f>
        <v/>
      </c>
      <c r="I9" s="3">
        <f>IFERROR(SUMIFS(Data!$I:$I,Data!$A:$A,I$2,Data!$D:$D,$A9)/SUMIFS(Data!$J:$J,Data!$A:$A,I$2,Data!$D:$D,$A9)*3,"")</f>
        <v/>
      </c>
      <c r="J9" s="3">
        <f>IFERROR(SUMIFS(Data!$I:$I,Data!$A:$A,J$2,Data!$D:$D,$A9)/SUMIFS(Data!$J:$J,Data!$A:$A,J$2,Data!$D:$D,$A9)*3,"")</f>
        <v/>
      </c>
      <c r="K9" s="3">
        <f>IFERROR(SUMIFS(Data!$I:$I,Data!$A:$A,K$2,Data!$D:$D,$A9)/SUMIFS(Data!$J:$J,Data!$A:$A,K$2,Data!$D:$D,$A9)*3,"")</f>
        <v/>
      </c>
      <c r="L9" s="3">
        <f>IFERROR(SUMIFS(Data!$I:$I,Data!$D:$D,$A9)/SUMIFS(Data!$J:$J,Data!$D:$D,$A9)*3,"")</f>
        <v/>
      </c>
      <c r="M9" s="3">
        <f>IF(COUNT(B9:K9)=0,"",MAX(B9:K9))</f>
        <v/>
      </c>
      <c r="N9" s="3">
        <f>IF(COUNT(B9:K9)=0,"",MIN(B9:K9))</f>
        <v/>
      </c>
      <c r="O9">
        <f>COUNT(B9:K9)</f>
        <v/>
      </c>
      <c r="P9" s="3">
        <f>IF(COUNT(B9:K9)=0,"",INDEX(B9:K9,_xlfn.MAXIFS($B$2:$K$2,B9:K9,"&gt;=0")))</f>
        <v/>
      </c>
      <c r="Q9">
        <f>IF(COUNT(B9:K9)=0,"","W"&amp;INDEX($B$2:$K$2,MATCH(M9,B9:K9,0)))</f>
        <v/>
      </c>
    </row>
    <row r="10">
      <c r="A10" s="5" t="inlineStr">
        <is>
          <t>John Klemick</t>
        </is>
      </c>
      <c r="B10" s="3">
        <f>IFERROR(SUMIFS(Data!$I:$I,Data!$A:$A,B$2,Data!$D:$D,$A10)/SUMIFS(Data!$J:$J,Data!$A:$A,B$2,Data!$D:$D,$A10)*3,"")</f>
        <v/>
      </c>
      <c r="C10" s="3">
        <f>IFERROR(SUMIFS(Data!$I:$I,Data!$A:$A,C$2,Data!$D:$D,$A10)/SUMIFS(Data!$J:$J,Data!$A:$A,C$2,Data!$D:$D,$A10)*3,"")</f>
        <v/>
      </c>
      <c r="D10" s="3">
        <f>IFERROR(SUMIFS(Data!$I:$I,Data!$A:$A,D$2,Data!$D:$D,$A10)/SUMIFS(Data!$J:$J,Data!$A:$A,D$2,Data!$D:$D,$A10)*3,"")</f>
        <v/>
      </c>
      <c r="E10" s="3">
        <f>IFERROR(SUMIFS(Data!$I:$I,Data!$A:$A,E$2,Data!$D:$D,$A10)/SUMIFS(Data!$J:$J,Data!$A:$A,E$2,Data!$D:$D,$A10)*3,"")</f>
        <v/>
      </c>
      <c r="F10" s="3">
        <f>IFERROR(SUMIFS(Data!$I:$I,Data!$A:$A,F$2,Data!$D:$D,$A10)/SUMIFS(Data!$J:$J,Data!$A:$A,F$2,Data!$D:$D,$A10)*3,"")</f>
        <v/>
      </c>
      <c r="G10" s="3">
        <f>IFERROR(SUMIFS(Data!$I:$I,Data!$A:$A,G$2,Data!$D:$D,$A10)/SUMIFS(Data!$J:$J,Data!$A:$A,G$2,Data!$D:$D,$A10)*3,"")</f>
        <v/>
      </c>
      <c r="H10" s="3">
        <f>IFERROR(SUMIFS(Data!$I:$I,Data!$A:$A,H$2,Data!$D:$D,$A10)/SUMIFS(Data!$J:$J,Data!$A:$A,H$2,Data!$D:$D,$A10)*3,"")</f>
        <v/>
      </c>
      <c r="I10" s="3">
        <f>IFERROR(SUMIFS(Data!$I:$I,Data!$A:$A,I$2,Data!$D:$D,$A10)/SUMIFS(Data!$J:$J,Data!$A:$A,I$2,Data!$D:$D,$A10)*3,"")</f>
        <v/>
      </c>
      <c r="J10" s="3">
        <f>IFERROR(SUMIFS(Data!$I:$I,Data!$A:$A,J$2,Data!$D:$D,$A10)/SUMIFS(Data!$J:$J,Data!$A:$A,J$2,Data!$D:$D,$A10)*3,"")</f>
        <v/>
      </c>
      <c r="K10" s="3">
        <f>IFERROR(SUMIFS(Data!$I:$I,Data!$A:$A,K$2,Data!$D:$D,$A10)/SUMIFS(Data!$J:$J,Data!$A:$A,K$2,Data!$D:$D,$A10)*3,"")</f>
        <v/>
      </c>
      <c r="L10" s="3">
        <f>IFERROR(SUMIFS(Data!$I:$I,Data!$D:$D,$A10)/SUMIFS(Data!$J:$J,Data!$D:$D,$A10)*3,"")</f>
        <v/>
      </c>
      <c r="M10" s="3">
        <f>IF(COUNT(B10:K10)=0,"",MAX(B10:K10))</f>
        <v/>
      </c>
      <c r="N10" s="3">
        <f>IF(COUNT(B10:K10)=0,"",MIN(B10:K10))</f>
        <v/>
      </c>
      <c r="O10">
        <f>COUNT(B10:K10)</f>
        <v/>
      </c>
      <c r="P10" s="3">
        <f>IF(COUNT(B10:K10)=0,"",INDEX(B10:K10,_xlfn.MAXIFS($B$2:$K$2,B10:K10,"&gt;=0")))</f>
        <v/>
      </c>
      <c r="Q10">
        <f>IF(COUNT(B10:K10)=0,"","W"&amp;INDEX($B$2:$K$2,MATCH(M10,B10:K10,0)))</f>
        <v/>
      </c>
    </row>
    <row r="11">
      <c r="A11" s="5" t="inlineStr">
        <is>
          <t>Frank Gillespie</t>
        </is>
      </c>
      <c r="B11" s="3">
        <f>IFERROR(SUMIFS(Data!$I:$I,Data!$A:$A,B$2,Data!$D:$D,$A11)/SUMIFS(Data!$J:$J,Data!$A:$A,B$2,Data!$D:$D,$A11)*3,"")</f>
        <v/>
      </c>
      <c r="C11" s="3">
        <f>IFERROR(SUMIFS(Data!$I:$I,Data!$A:$A,C$2,Data!$D:$D,$A11)/SUMIFS(Data!$J:$J,Data!$A:$A,C$2,Data!$D:$D,$A11)*3,"")</f>
        <v/>
      </c>
      <c r="D11" s="3">
        <f>IFERROR(SUMIFS(Data!$I:$I,Data!$A:$A,D$2,Data!$D:$D,$A11)/SUMIFS(Data!$J:$J,Data!$A:$A,D$2,Data!$D:$D,$A11)*3,"")</f>
        <v/>
      </c>
      <c r="E11" s="3">
        <f>IFERROR(SUMIFS(Data!$I:$I,Data!$A:$A,E$2,Data!$D:$D,$A11)/SUMIFS(Data!$J:$J,Data!$A:$A,E$2,Data!$D:$D,$A11)*3,"")</f>
        <v/>
      </c>
      <c r="F11" s="3">
        <f>IFERROR(SUMIFS(Data!$I:$I,Data!$A:$A,F$2,Data!$D:$D,$A11)/SUMIFS(Data!$J:$J,Data!$A:$A,F$2,Data!$D:$D,$A11)*3,"")</f>
        <v/>
      </c>
      <c r="G11" s="3">
        <f>IFERROR(SUMIFS(Data!$I:$I,Data!$A:$A,G$2,Data!$D:$D,$A11)/SUMIFS(Data!$J:$J,Data!$A:$A,G$2,Data!$D:$D,$A11)*3,"")</f>
        <v/>
      </c>
      <c r="H11" s="3">
        <f>IFERROR(SUMIFS(Data!$I:$I,Data!$A:$A,H$2,Data!$D:$D,$A11)/SUMIFS(Data!$J:$J,Data!$A:$A,H$2,Data!$D:$D,$A11)*3,"")</f>
        <v/>
      </c>
      <c r="I11" s="3">
        <f>IFERROR(SUMIFS(Data!$I:$I,Data!$A:$A,I$2,Data!$D:$D,$A11)/SUMIFS(Data!$J:$J,Data!$A:$A,I$2,Data!$D:$D,$A11)*3,"")</f>
        <v/>
      </c>
      <c r="J11" s="3">
        <f>IFERROR(SUMIFS(Data!$I:$I,Data!$A:$A,J$2,Data!$D:$D,$A11)/SUMIFS(Data!$J:$J,Data!$A:$A,J$2,Data!$D:$D,$A11)*3,"")</f>
        <v/>
      </c>
      <c r="K11" s="3">
        <f>IFERROR(SUMIFS(Data!$I:$I,Data!$A:$A,K$2,Data!$D:$D,$A11)/SUMIFS(Data!$J:$J,Data!$A:$A,K$2,Data!$D:$D,$A11)*3,"")</f>
        <v/>
      </c>
      <c r="L11" s="3">
        <f>IFERROR(SUMIFS(Data!$I:$I,Data!$D:$D,$A11)/SUMIFS(Data!$J:$J,Data!$D:$D,$A11)*3,"")</f>
        <v/>
      </c>
      <c r="M11" s="3">
        <f>IF(COUNT(B11:K11)=0,"",MAX(B11:K11))</f>
        <v/>
      </c>
      <c r="N11" s="3">
        <f>IF(COUNT(B11:K11)=0,"",MIN(B11:K11))</f>
        <v/>
      </c>
      <c r="O11">
        <f>COUNT(B11:K11)</f>
        <v/>
      </c>
      <c r="P11" s="3">
        <f>IF(COUNT(B11:K11)=0,"",INDEX(B11:K11,_xlfn.MAXIFS($B$2:$K$2,B11:K11,"&gt;=0")))</f>
        <v/>
      </c>
      <c r="Q11">
        <f>IF(COUNT(B11:K11)=0,"","W"&amp;INDEX($B$2:$K$2,MATCH(M11,B11:K11,0)))</f>
        <v/>
      </c>
    </row>
    <row r="12">
      <c r="A12" s="5" t="inlineStr">
        <is>
          <t>Jim Wright</t>
        </is>
      </c>
      <c r="B12" s="3">
        <f>IFERROR(SUMIFS(Data!$I:$I,Data!$A:$A,B$2,Data!$D:$D,$A12)/SUMIFS(Data!$J:$J,Data!$A:$A,B$2,Data!$D:$D,$A12)*3,"")</f>
        <v/>
      </c>
      <c r="C12" s="3">
        <f>IFERROR(SUMIFS(Data!$I:$I,Data!$A:$A,C$2,Data!$D:$D,$A12)/SUMIFS(Data!$J:$J,Data!$A:$A,C$2,Data!$D:$D,$A12)*3,"")</f>
        <v/>
      </c>
      <c r="D12" s="3">
        <f>IFERROR(SUMIFS(Data!$I:$I,Data!$A:$A,D$2,Data!$D:$D,$A12)/SUMIFS(Data!$J:$J,Data!$A:$A,D$2,Data!$D:$D,$A12)*3,"")</f>
        <v/>
      </c>
      <c r="E12" s="3">
        <f>IFERROR(SUMIFS(Data!$I:$I,Data!$A:$A,E$2,Data!$D:$D,$A12)/SUMIFS(Data!$J:$J,Data!$A:$A,E$2,Data!$D:$D,$A12)*3,"")</f>
        <v/>
      </c>
      <c r="F12" s="3">
        <f>IFERROR(SUMIFS(Data!$I:$I,Data!$A:$A,F$2,Data!$D:$D,$A12)/SUMIFS(Data!$J:$J,Data!$A:$A,F$2,Data!$D:$D,$A12)*3,"")</f>
        <v/>
      </c>
      <c r="G12" s="3">
        <f>IFERROR(SUMIFS(Data!$I:$I,Data!$A:$A,G$2,Data!$D:$D,$A12)/SUMIFS(Data!$J:$J,Data!$A:$A,G$2,Data!$D:$D,$A12)*3,"")</f>
        <v/>
      </c>
      <c r="H12" s="3">
        <f>IFERROR(SUMIFS(Data!$I:$I,Data!$A:$A,H$2,Data!$D:$D,$A12)/SUMIFS(Data!$J:$J,Data!$A:$A,H$2,Data!$D:$D,$A12)*3,"")</f>
        <v/>
      </c>
      <c r="I12" s="3">
        <f>IFERROR(SUMIFS(Data!$I:$I,Data!$A:$A,I$2,Data!$D:$D,$A12)/SUMIFS(Data!$J:$J,Data!$A:$A,I$2,Data!$D:$D,$A12)*3,"")</f>
        <v/>
      </c>
      <c r="J12" s="3">
        <f>IFERROR(SUMIFS(Data!$I:$I,Data!$A:$A,J$2,Data!$D:$D,$A12)/SUMIFS(Data!$J:$J,Data!$A:$A,J$2,Data!$D:$D,$A12)*3,"")</f>
        <v/>
      </c>
      <c r="K12" s="3">
        <f>IFERROR(SUMIFS(Data!$I:$I,Data!$A:$A,K$2,Data!$D:$D,$A12)/SUMIFS(Data!$J:$J,Data!$A:$A,K$2,Data!$D:$D,$A12)*3,"")</f>
        <v/>
      </c>
      <c r="L12" s="3">
        <f>IFERROR(SUMIFS(Data!$I:$I,Data!$D:$D,$A12)/SUMIFS(Data!$J:$J,Data!$D:$D,$A12)*3,"")</f>
        <v/>
      </c>
      <c r="M12" s="3">
        <f>IF(COUNT(B12:K12)=0,"",MAX(B12:K12))</f>
        <v/>
      </c>
      <c r="N12" s="3">
        <f>IF(COUNT(B12:K12)=0,"",MIN(B12:K12))</f>
        <v/>
      </c>
      <c r="O12">
        <f>COUNT(B12:K12)</f>
        <v/>
      </c>
      <c r="P12" s="3">
        <f>IF(COUNT(B12:K12)=0,"",INDEX(B12:K12,_xlfn.MAXIFS($B$2:$K$2,B12:K12,"&gt;=0")))</f>
        <v/>
      </c>
      <c r="Q12">
        <f>IF(COUNT(B12:K12)=0,"","W"&amp;INDEX($B$2:$K$2,MATCH(M12,B12:K12,0)))</f>
        <v/>
      </c>
    </row>
    <row r="13">
      <c r="A13" s="5" t="inlineStr">
        <is>
          <t>Dave Keppler</t>
        </is>
      </c>
      <c r="B13" s="3">
        <f>IFERROR(SUMIFS(Data!$I:$I,Data!$A:$A,B$2,Data!$D:$D,$A13)/SUMIFS(Data!$J:$J,Data!$A:$A,B$2,Data!$D:$D,$A13)*3,"")</f>
        <v/>
      </c>
      <c r="C13" s="3">
        <f>IFERROR(SUMIFS(Data!$I:$I,Data!$A:$A,C$2,Data!$D:$D,$A13)/SUMIFS(Data!$J:$J,Data!$A:$A,C$2,Data!$D:$D,$A13)*3,"")</f>
        <v/>
      </c>
      <c r="D13" s="3">
        <f>IFERROR(SUMIFS(Data!$I:$I,Data!$A:$A,D$2,Data!$D:$D,$A13)/SUMIFS(Data!$J:$J,Data!$A:$A,D$2,Data!$D:$D,$A13)*3,"")</f>
        <v/>
      </c>
      <c r="E13" s="3">
        <f>IFERROR(SUMIFS(Data!$I:$I,Data!$A:$A,E$2,Data!$D:$D,$A13)/SUMIFS(Data!$J:$J,Data!$A:$A,E$2,Data!$D:$D,$A13)*3,"")</f>
        <v/>
      </c>
      <c r="F13" s="3">
        <f>IFERROR(SUMIFS(Data!$I:$I,Data!$A:$A,F$2,Data!$D:$D,$A13)/SUMIFS(Data!$J:$J,Data!$A:$A,F$2,Data!$D:$D,$A13)*3,"")</f>
        <v/>
      </c>
      <c r="G13" s="3">
        <f>IFERROR(SUMIFS(Data!$I:$I,Data!$A:$A,G$2,Data!$D:$D,$A13)/SUMIFS(Data!$J:$J,Data!$A:$A,G$2,Data!$D:$D,$A13)*3,"")</f>
        <v/>
      </c>
      <c r="H13" s="3">
        <f>IFERROR(SUMIFS(Data!$I:$I,Data!$A:$A,H$2,Data!$D:$D,$A13)/SUMIFS(Data!$J:$J,Data!$A:$A,H$2,Data!$D:$D,$A13)*3,"")</f>
        <v/>
      </c>
      <c r="I13" s="3">
        <f>IFERROR(SUMIFS(Data!$I:$I,Data!$A:$A,I$2,Data!$D:$D,$A13)/SUMIFS(Data!$J:$J,Data!$A:$A,I$2,Data!$D:$D,$A13)*3,"")</f>
        <v/>
      </c>
      <c r="J13" s="3">
        <f>IFERROR(SUMIFS(Data!$I:$I,Data!$A:$A,J$2,Data!$D:$D,$A13)/SUMIFS(Data!$J:$J,Data!$A:$A,J$2,Data!$D:$D,$A13)*3,"")</f>
        <v/>
      </c>
      <c r="K13" s="3">
        <f>IFERROR(SUMIFS(Data!$I:$I,Data!$A:$A,K$2,Data!$D:$D,$A13)/SUMIFS(Data!$J:$J,Data!$A:$A,K$2,Data!$D:$D,$A13)*3,"")</f>
        <v/>
      </c>
      <c r="L13" s="3">
        <f>IFERROR(SUMIFS(Data!$I:$I,Data!$D:$D,$A13)/SUMIFS(Data!$J:$J,Data!$D:$D,$A13)*3,"")</f>
        <v/>
      </c>
      <c r="M13" s="3">
        <f>IF(COUNT(B13:K13)=0,"",MAX(B13:K13))</f>
        <v/>
      </c>
      <c r="N13" s="3">
        <f>IF(COUNT(B13:K13)=0,"",MIN(B13:K13))</f>
        <v/>
      </c>
      <c r="O13">
        <f>COUNT(B13:K13)</f>
        <v/>
      </c>
      <c r="P13" s="3">
        <f>IF(COUNT(B13:K13)=0,"",INDEX(B13:K13,_xlfn.MAXIFS($B$2:$K$2,B13:K13,"&gt;=0")))</f>
        <v/>
      </c>
      <c r="Q13">
        <f>IF(COUNT(B13:K13)=0,"","W"&amp;INDEX($B$2:$K$2,MATCH(M13,B13:K13,0)))</f>
        <v/>
      </c>
    </row>
    <row r="14">
      <c r="A14" s="6" t="inlineStr">
        <is>
          <t>TEAM</t>
        </is>
      </c>
      <c r="B14" s="7">
        <f>IFERROR(SUMIFS(Data!$I:$I,Data!$A:$A,B$2)/SUMIFS(Data!$J:$J,Data!$A:$A,B$2)*3,"")</f>
        <v/>
      </c>
      <c r="C14" s="7">
        <f>IFERROR(SUMIFS(Data!$I:$I,Data!$A:$A,C$2)/SUMIFS(Data!$J:$J,Data!$A:$A,C$2)*3,"")</f>
        <v/>
      </c>
      <c r="D14" s="7">
        <f>IFERROR(SUMIFS(Data!$I:$I,Data!$A:$A,D$2)/SUMIFS(Data!$J:$J,Data!$A:$A,D$2)*3,"")</f>
        <v/>
      </c>
      <c r="E14" s="7">
        <f>IFERROR(SUMIFS(Data!$I:$I,Data!$A:$A,E$2)/SUMIFS(Data!$J:$J,Data!$A:$A,E$2)*3,"")</f>
        <v/>
      </c>
      <c r="F14" s="7">
        <f>IFERROR(SUMIFS(Data!$I:$I,Data!$A:$A,F$2)/SUMIFS(Data!$J:$J,Data!$A:$A,F$2)*3,"")</f>
        <v/>
      </c>
      <c r="G14" s="7">
        <f>IFERROR(SUMIFS(Data!$I:$I,Data!$A:$A,G$2)/SUMIFS(Data!$J:$J,Data!$A:$A,G$2)*3,"")</f>
        <v/>
      </c>
      <c r="H14" s="7">
        <f>IFERROR(SUMIFS(Data!$I:$I,Data!$A:$A,H$2)/SUMIFS(Data!$J:$J,Data!$A:$A,H$2)*3,"")</f>
        <v/>
      </c>
      <c r="I14" s="7">
        <f>IFERROR(SUMIFS(Data!$I:$I,Data!$A:$A,I$2)/SUMIFS(Data!$J:$J,Data!$A:$A,I$2)*3,"")</f>
        <v/>
      </c>
      <c r="J14" s="7">
        <f>IFERROR(SUMIFS(Data!$I:$I,Data!$A:$A,J$2)/SUMIFS(Data!$J:$J,Data!$A:$A,J$2)*3,"")</f>
        <v/>
      </c>
      <c r="K14" s="7">
        <f>IFERROR(SUMIFS(Data!$I:$I,Data!$A:$A,K$2)/SUMIFS(Data!$J:$J,Data!$A:$A,K$2)*3,"")</f>
        <v/>
      </c>
      <c r="L14" s="7">
        <f>IFERROR(SUM(Data!$I:$I)/SUM(Data!$J:$J)*3,"")</f>
        <v/>
      </c>
      <c r="M14" s="7">
        <f>IF(COUNT(B14:K14)=0,"",MAX(B14:K14))</f>
        <v/>
      </c>
      <c r="N14" s="7">
        <f>IF(COUNT(B14:K14)=0,"",MIN(B14:K14))</f>
        <v/>
      </c>
      <c r="O14" s="6">
        <f>COUNT(B14:K14)</f>
        <v/>
      </c>
      <c r="P14" s="7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Player</t>
        </is>
      </c>
      <c r="B1" s="1" t="inlineStr">
        <is>
          <t>W1 (9/17)</t>
        </is>
      </c>
      <c r="C1" s="1" t="inlineStr">
        <is>
          <t>W2 (9/24)</t>
        </is>
      </c>
      <c r="D1" s="1" t="inlineStr">
        <is>
          <t>W3 (10/1)</t>
        </is>
      </c>
      <c r="E1" s="1" t="inlineStr">
        <is>
          <t>W4 (10/8)</t>
        </is>
      </c>
      <c r="F1" s="1" t="inlineStr">
        <is>
          <t>W5 (10/15)</t>
        </is>
      </c>
      <c r="G1" s="1" t="inlineStr">
        <is>
          <t>W6 (10/22)</t>
        </is>
      </c>
      <c r="H1" s="1" t="inlineStr">
        <is>
          <t>W7 (10/29)</t>
        </is>
      </c>
      <c r="I1" s="1" t="inlineStr">
        <is>
          <t>W8 (11/5)</t>
        </is>
      </c>
      <c r="J1" s="1" t="inlineStr">
        <is>
          <t>W9 (11/12)</t>
        </is>
      </c>
      <c r="K1" s="1" t="inlineStr">
        <is>
          <t>W10 (11/19)</t>
        </is>
      </c>
      <c r="L1" s="1" t="inlineStr">
        <is>
          <t>Season DO%</t>
        </is>
      </c>
      <c r="M1" s="1" t="inlineStr">
        <is>
          <t>Best Week</t>
        </is>
      </c>
      <c r="N1" s="1" t="inlineStr">
        <is>
          <t>Worst Week</t>
        </is>
      </c>
      <c r="O1" s="1" t="inlineStr">
        <is>
          <t>Weeks Played</t>
        </is>
      </c>
      <c r="P1" s="1" t="inlineStr">
        <is>
          <t>Latest</t>
        </is>
      </c>
      <c r="Q1" s="1" t="inlineStr">
        <is>
          <t>Best Wk</t>
        </is>
      </c>
    </row>
    <row r="2">
      <c r="A2" s="5" t="inlineStr">
        <is>
          <t>Week #</t>
        </is>
      </c>
      <c r="B2" s="5" t="n">
        <v>1</v>
      </c>
      <c r="C2" s="5" t="n">
        <v>2</v>
      </c>
      <c r="D2" s="5" t="n">
        <v>3</v>
      </c>
      <c r="E2" s="5" t="n">
        <v>4</v>
      </c>
      <c r="F2" s="5" t="n">
        <v>5</v>
      </c>
      <c r="G2" s="5" t="n">
        <v>6</v>
      </c>
      <c r="H2" s="5" t="n">
        <v>7</v>
      </c>
      <c r="I2" s="5" t="n">
        <v>8</v>
      </c>
      <c r="J2" s="5" t="n">
        <v>9</v>
      </c>
      <c r="K2" s="5" t="n">
        <v>10</v>
      </c>
    </row>
    <row r="3">
      <c r="A3" s="5" t="inlineStr">
        <is>
          <t>Mike Broderick</t>
        </is>
      </c>
      <c r="B3" s="4">
        <f>IFERROR(SUMIFS(Data!$L:$L,Data!$A:$A,B$2,Data!$D:$D,$A3)/SUMIFS(Data!$M:$M,Data!$A:$A,B$2,Data!$D:$D,$A3),"")</f>
        <v/>
      </c>
      <c r="C3" s="4">
        <f>IFERROR(SUMIFS(Data!$L:$L,Data!$A:$A,C$2,Data!$D:$D,$A3)/SUMIFS(Data!$M:$M,Data!$A:$A,C$2,Data!$D:$D,$A3),"")</f>
        <v/>
      </c>
      <c r="D3" s="4">
        <f>IFERROR(SUMIFS(Data!$L:$L,Data!$A:$A,D$2,Data!$D:$D,$A3)/SUMIFS(Data!$M:$M,Data!$A:$A,D$2,Data!$D:$D,$A3),"")</f>
        <v/>
      </c>
      <c r="E3" s="4">
        <f>IFERROR(SUMIFS(Data!$L:$L,Data!$A:$A,E$2,Data!$D:$D,$A3)/SUMIFS(Data!$M:$M,Data!$A:$A,E$2,Data!$D:$D,$A3),"")</f>
        <v/>
      </c>
      <c r="F3" s="4">
        <f>IFERROR(SUMIFS(Data!$L:$L,Data!$A:$A,F$2,Data!$D:$D,$A3)/SUMIFS(Data!$M:$M,Data!$A:$A,F$2,Data!$D:$D,$A3),"")</f>
        <v/>
      </c>
      <c r="G3" s="4">
        <f>IFERROR(SUMIFS(Data!$L:$L,Data!$A:$A,G$2,Data!$D:$D,$A3)/SUMIFS(Data!$M:$M,Data!$A:$A,G$2,Data!$D:$D,$A3),"")</f>
        <v/>
      </c>
      <c r="H3" s="4">
        <f>IFERROR(SUMIFS(Data!$L:$L,Data!$A:$A,H$2,Data!$D:$D,$A3)/SUMIFS(Data!$M:$M,Data!$A:$A,H$2,Data!$D:$D,$A3),"")</f>
        <v/>
      </c>
      <c r="I3" s="4">
        <f>IFERROR(SUMIFS(Data!$L:$L,Data!$A:$A,I$2,Data!$D:$D,$A3)/SUMIFS(Data!$M:$M,Data!$A:$A,I$2,Data!$D:$D,$A3),"")</f>
        <v/>
      </c>
      <c r="J3" s="4">
        <f>IFERROR(SUMIFS(Data!$L:$L,Data!$A:$A,J$2,Data!$D:$D,$A3)/SUMIFS(Data!$M:$M,Data!$A:$A,J$2,Data!$D:$D,$A3),"")</f>
        <v/>
      </c>
      <c r="K3" s="4">
        <f>IFERROR(SUMIFS(Data!$L:$L,Data!$A:$A,K$2,Data!$D:$D,$A3)/SUMIFS(Data!$M:$M,Data!$A:$A,K$2,Data!$D:$D,$A3),"")</f>
        <v/>
      </c>
      <c r="L3" s="4">
        <f>IFERROR(SUMIFS(Data!$L:$L,Data!$D:$D,$A3)/SUMIFS(Data!$M:$M,Data!$D:$D,$A3),"")</f>
        <v/>
      </c>
      <c r="M3" s="4">
        <f>IF(COUNT(B3:K3)=0,"",MAX(B3:K3))</f>
        <v/>
      </c>
      <c r="N3" s="4">
        <f>IF(COUNT(B3:K3)=0,"",MIN(B3:K3))</f>
        <v/>
      </c>
      <c r="O3">
        <f>COUNT(B3:K3)</f>
        <v/>
      </c>
      <c r="P3" s="4">
        <f>IF(COUNT(B3:K3)=0,"",INDEX(B3:K3,_xlfn.MAXIFS($B$2:$K$2,B3:K3,"&gt;=0")))</f>
        <v/>
      </c>
      <c r="Q3">
        <f>IF(COUNT(B3:K3)=0,"","W"&amp;INDEX($B$2:$K$2,MATCH(M3,B3:K3,0)))</f>
        <v/>
      </c>
    </row>
    <row r="4">
      <c r="A4" s="5" t="inlineStr">
        <is>
          <t>Jeff Broderick</t>
        </is>
      </c>
      <c r="B4" s="4">
        <f>IFERROR(SUMIFS(Data!$L:$L,Data!$A:$A,B$2,Data!$D:$D,$A4)/SUMIFS(Data!$M:$M,Data!$A:$A,B$2,Data!$D:$D,$A4),"")</f>
        <v/>
      </c>
      <c r="C4" s="4">
        <f>IFERROR(SUMIFS(Data!$L:$L,Data!$A:$A,C$2,Data!$D:$D,$A4)/SUMIFS(Data!$M:$M,Data!$A:$A,C$2,Data!$D:$D,$A4),"")</f>
        <v/>
      </c>
      <c r="D4" s="4">
        <f>IFERROR(SUMIFS(Data!$L:$L,Data!$A:$A,D$2,Data!$D:$D,$A4)/SUMIFS(Data!$M:$M,Data!$A:$A,D$2,Data!$D:$D,$A4),"")</f>
        <v/>
      </c>
      <c r="E4" s="4">
        <f>IFERROR(SUMIFS(Data!$L:$L,Data!$A:$A,E$2,Data!$D:$D,$A4)/SUMIFS(Data!$M:$M,Data!$A:$A,E$2,Data!$D:$D,$A4),"")</f>
        <v/>
      </c>
      <c r="F4" s="4">
        <f>IFERROR(SUMIFS(Data!$L:$L,Data!$A:$A,F$2,Data!$D:$D,$A4)/SUMIFS(Data!$M:$M,Data!$A:$A,F$2,Data!$D:$D,$A4),"")</f>
        <v/>
      </c>
      <c r="G4" s="4">
        <f>IFERROR(SUMIFS(Data!$L:$L,Data!$A:$A,G$2,Data!$D:$D,$A4)/SUMIFS(Data!$M:$M,Data!$A:$A,G$2,Data!$D:$D,$A4),"")</f>
        <v/>
      </c>
      <c r="H4" s="4">
        <f>IFERROR(SUMIFS(Data!$L:$L,Data!$A:$A,H$2,Data!$D:$D,$A4)/SUMIFS(Data!$M:$M,Data!$A:$A,H$2,Data!$D:$D,$A4),"")</f>
        <v/>
      </c>
      <c r="I4" s="4">
        <f>IFERROR(SUMIFS(Data!$L:$L,Data!$A:$A,I$2,Data!$D:$D,$A4)/SUMIFS(Data!$M:$M,Data!$A:$A,I$2,Data!$D:$D,$A4),"")</f>
        <v/>
      </c>
      <c r="J4" s="4">
        <f>IFERROR(SUMIFS(Data!$L:$L,Data!$A:$A,J$2,Data!$D:$D,$A4)/SUMIFS(Data!$M:$M,Data!$A:$A,J$2,Data!$D:$D,$A4),"")</f>
        <v/>
      </c>
      <c r="K4" s="4">
        <f>IFERROR(SUMIFS(Data!$L:$L,Data!$A:$A,K$2,Data!$D:$D,$A4)/SUMIFS(Data!$M:$M,Data!$A:$A,K$2,Data!$D:$D,$A4),"")</f>
        <v/>
      </c>
      <c r="L4" s="4">
        <f>IFERROR(SUMIFS(Data!$L:$L,Data!$D:$D,$A4)/SUMIFS(Data!$M:$M,Data!$D:$D,$A4),"")</f>
        <v/>
      </c>
      <c r="M4" s="4">
        <f>IF(COUNT(B4:K4)=0,"",MAX(B4:K4))</f>
        <v/>
      </c>
      <c r="N4" s="4">
        <f>IF(COUNT(B4:K4)=0,"",MIN(B4:K4))</f>
        <v/>
      </c>
      <c r="O4">
        <f>COUNT(B4:K4)</f>
        <v/>
      </c>
      <c r="P4" s="4">
        <f>IF(COUNT(B4:K4)=0,"",INDEX(B4:K4,_xlfn.MAXIFS($B$2:$K$2,B4:K4,"&gt;=0")))</f>
        <v/>
      </c>
      <c r="Q4">
        <f>IF(COUNT(B4:K4)=0,"","W"&amp;INDEX($B$2:$K$2,MATCH(M4,B4:K4,0)))</f>
        <v/>
      </c>
    </row>
    <row r="5">
      <c r="A5" s="5" t="inlineStr">
        <is>
          <t>Captain (Vince Clemins)</t>
        </is>
      </c>
      <c r="B5" s="4">
        <f>IFERROR(SUMIFS(Data!$L:$L,Data!$A:$A,B$2,Data!$D:$D,$A5)/SUMIFS(Data!$M:$M,Data!$A:$A,B$2,Data!$D:$D,$A5),"")</f>
        <v/>
      </c>
      <c r="C5" s="4">
        <f>IFERROR(SUMIFS(Data!$L:$L,Data!$A:$A,C$2,Data!$D:$D,$A5)/SUMIFS(Data!$M:$M,Data!$A:$A,C$2,Data!$D:$D,$A5),"")</f>
        <v/>
      </c>
      <c r="D5" s="4">
        <f>IFERROR(SUMIFS(Data!$L:$L,Data!$A:$A,D$2,Data!$D:$D,$A5)/SUMIFS(Data!$M:$M,Data!$A:$A,D$2,Data!$D:$D,$A5),"")</f>
        <v/>
      </c>
      <c r="E5" s="4">
        <f>IFERROR(SUMIFS(Data!$L:$L,Data!$A:$A,E$2,Data!$D:$D,$A5)/SUMIFS(Data!$M:$M,Data!$A:$A,E$2,Data!$D:$D,$A5),"")</f>
        <v/>
      </c>
      <c r="F5" s="4">
        <f>IFERROR(SUMIFS(Data!$L:$L,Data!$A:$A,F$2,Data!$D:$D,$A5)/SUMIFS(Data!$M:$M,Data!$A:$A,F$2,Data!$D:$D,$A5),"")</f>
        <v/>
      </c>
      <c r="G5" s="4">
        <f>IFERROR(SUMIFS(Data!$L:$L,Data!$A:$A,G$2,Data!$D:$D,$A5)/SUMIFS(Data!$M:$M,Data!$A:$A,G$2,Data!$D:$D,$A5),"")</f>
        <v/>
      </c>
      <c r="H5" s="4">
        <f>IFERROR(SUMIFS(Data!$L:$L,Data!$A:$A,H$2,Data!$D:$D,$A5)/SUMIFS(Data!$M:$M,Data!$A:$A,H$2,Data!$D:$D,$A5),"")</f>
        <v/>
      </c>
      <c r="I5" s="4">
        <f>IFERROR(SUMIFS(Data!$L:$L,Data!$A:$A,I$2,Data!$D:$D,$A5)/SUMIFS(Data!$M:$M,Data!$A:$A,I$2,Data!$D:$D,$A5),"")</f>
        <v/>
      </c>
      <c r="J5" s="4">
        <f>IFERROR(SUMIFS(Data!$L:$L,Data!$A:$A,J$2,Data!$D:$D,$A5)/SUMIFS(Data!$M:$M,Data!$A:$A,J$2,Data!$D:$D,$A5),"")</f>
        <v/>
      </c>
      <c r="K5" s="4">
        <f>IFERROR(SUMIFS(Data!$L:$L,Data!$A:$A,K$2,Data!$D:$D,$A5)/SUMIFS(Data!$M:$M,Data!$A:$A,K$2,Data!$D:$D,$A5),"")</f>
        <v/>
      </c>
      <c r="L5" s="4">
        <f>IFERROR(SUMIFS(Data!$L:$L,Data!$D:$D,$A5)/SUMIFS(Data!$M:$M,Data!$D:$D,$A5),"")</f>
        <v/>
      </c>
      <c r="M5" s="4">
        <f>IF(COUNT(B5:K5)=0,"",MAX(B5:K5))</f>
        <v/>
      </c>
      <c r="N5" s="4">
        <f>IF(COUNT(B5:K5)=0,"",MIN(B5:K5))</f>
        <v/>
      </c>
      <c r="O5">
        <f>COUNT(B5:K5)</f>
        <v/>
      </c>
      <c r="P5" s="4">
        <f>IF(COUNT(B5:K5)=0,"",INDEX(B5:K5,_xlfn.MAXIFS($B$2:$K$2,B5:K5,"&gt;=0")))</f>
        <v/>
      </c>
      <c r="Q5">
        <f>IF(COUNT(B5:K5)=0,"","W"&amp;INDEX($B$2:$K$2,MATCH(M5,B5:K5,0)))</f>
        <v/>
      </c>
    </row>
    <row r="6">
      <c r="A6" s="5" t="inlineStr">
        <is>
          <t>Al Fromenko</t>
        </is>
      </c>
      <c r="B6" s="4">
        <f>IFERROR(SUMIFS(Data!$L:$L,Data!$A:$A,B$2,Data!$D:$D,$A6)/SUMIFS(Data!$M:$M,Data!$A:$A,B$2,Data!$D:$D,$A6),"")</f>
        <v/>
      </c>
      <c r="C6" s="4">
        <f>IFERROR(SUMIFS(Data!$L:$L,Data!$A:$A,C$2,Data!$D:$D,$A6)/SUMIFS(Data!$M:$M,Data!$A:$A,C$2,Data!$D:$D,$A6),"")</f>
        <v/>
      </c>
      <c r="D6" s="4">
        <f>IFERROR(SUMIFS(Data!$L:$L,Data!$A:$A,D$2,Data!$D:$D,$A6)/SUMIFS(Data!$M:$M,Data!$A:$A,D$2,Data!$D:$D,$A6),"")</f>
        <v/>
      </c>
      <c r="E6" s="4">
        <f>IFERROR(SUMIFS(Data!$L:$L,Data!$A:$A,E$2,Data!$D:$D,$A6)/SUMIFS(Data!$M:$M,Data!$A:$A,E$2,Data!$D:$D,$A6),"")</f>
        <v/>
      </c>
      <c r="F6" s="4">
        <f>IFERROR(SUMIFS(Data!$L:$L,Data!$A:$A,F$2,Data!$D:$D,$A6)/SUMIFS(Data!$M:$M,Data!$A:$A,F$2,Data!$D:$D,$A6),"")</f>
        <v/>
      </c>
      <c r="G6" s="4">
        <f>IFERROR(SUMIFS(Data!$L:$L,Data!$A:$A,G$2,Data!$D:$D,$A6)/SUMIFS(Data!$M:$M,Data!$A:$A,G$2,Data!$D:$D,$A6),"")</f>
        <v/>
      </c>
      <c r="H6" s="4">
        <f>IFERROR(SUMIFS(Data!$L:$L,Data!$A:$A,H$2,Data!$D:$D,$A6)/SUMIFS(Data!$M:$M,Data!$A:$A,H$2,Data!$D:$D,$A6),"")</f>
        <v/>
      </c>
      <c r="I6" s="4">
        <f>IFERROR(SUMIFS(Data!$L:$L,Data!$A:$A,I$2,Data!$D:$D,$A6)/SUMIFS(Data!$M:$M,Data!$A:$A,I$2,Data!$D:$D,$A6),"")</f>
        <v/>
      </c>
      <c r="J6" s="4">
        <f>IFERROR(SUMIFS(Data!$L:$L,Data!$A:$A,J$2,Data!$D:$D,$A6)/SUMIFS(Data!$M:$M,Data!$A:$A,J$2,Data!$D:$D,$A6),"")</f>
        <v/>
      </c>
      <c r="K6" s="4">
        <f>IFERROR(SUMIFS(Data!$L:$L,Data!$A:$A,K$2,Data!$D:$D,$A6)/SUMIFS(Data!$M:$M,Data!$A:$A,K$2,Data!$D:$D,$A6),"")</f>
        <v/>
      </c>
      <c r="L6" s="4">
        <f>IFERROR(SUMIFS(Data!$L:$L,Data!$D:$D,$A6)/SUMIFS(Data!$M:$M,Data!$D:$D,$A6),"")</f>
        <v/>
      </c>
      <c r="M6" s="4">
        <f>IF(COUNT(B6:K6)=0,"",MAX(B6:K6))</f>
        <v/>
      </c>
      <c r="N6" s="4">
        <f>IF(COUNT(B6:K6)=0,"",MIN(B6:K6))</f>
        <v/>
      </c>
      <c r="O6">
        <f>COUNT(B6:K6)</f>
        <v/>
      </c>
      <c r="P6" s="4">
        <f>IF(COUNT(B6:K6)=0,"",INDEX(B6:K6,_xlfn.MAXIFS($B$2:$K$2,B6:K6,"&gt;=0")))</f>
        <v/>
      </c>
      <c r="Q6">
        <f>IF(COUNT(B6:K6)=0,"","W"&amp;INDEX($B$2:$K$2,MATCH(M6,B6:K6,0)))</f>
        <v/>
      </c>
    </row>
    <row r="7">
      <c r="A7" s="5" t="inlineStr">
        <is>
          <t>Bill Prelle</t>
        </is>
      </c>
      <c r="B7" s="4">
        <f>IFERROR(SUMIFS(Data!$L:$L,Data!$A:$A,B$2,Data!$D:$D,$A7)/SUMIFS(Data!$M:$M,Data!$A:$A,B$2,Data!$D:$D,$A7),"")</f>
        <v/>
      </c>
      <c r="C7" s="4">
        <f>IFERROR(SUMIFS(Data!$L:$L,Data!$A:$A,C$2,Data!$D:$D,$A7)/SUMIFS(Data!$M:$M,Data!$A:$A,C$2,Data!$D:$D,$A7),"")</f>
        <v/>
      </c>
      <c r="D7" s="4">
        <f>IFERROR(SUMIFS(Data!$L:$L,Data!$A:$A,D$2,Data!$D:$D,$A7)/SUMIFS(Data!$M:$M,Data!$A:$A,D$2,Data!$D:$D,$A7),"")</f>
        <v/>
      </c>
      <c r="E7" s="4">
        <f>IFERROR(SUMIFS(Data!$L:$L,Data!$A:$A,E$2,Data!$D:$D,$A7)/SUMIFS(Data!$M:$M,Data!$A:$A,E$2,Data!$D:$D,$A7),"")</f>
        <v/>
      </c>
      <c r="F7" s="4">
        <f>IFERROR(SUMIFS(Data!$L:$L,Data!$A:$A,F$2,Data!$D:$D,$A7)/SUMIFS(Data!$M:$M,Data!$A:$A,F$2,Data!$D:$D,$A7),"")</f>
        <v/>
      </c>
      <c r="G7" s="4">
        <f>IFERROR(SUMIFS(Data!$L:$L,Data!$A:$A,G$2,Data!$D:$D,$A7)/SUMIFS(Data!$M:$M,Data!$A:$A,G$2,Data!$D:$D,$A7),"")</f>
        <v/>
      </c>
      <c r="H7" s="4">
        <f>IFERROR(SUMIFS(Data!$L:$L,Data!$A:$A,H$2,Data!$D:$D,$A7)/SUMIFS(Data!$M:$M,Data!$A:$A,H$2,Data!$D:$D,$A7),"")</f>
        <v/>
      </c>
      <c r="I7" s="4">
        <f>IFERROR(SUMIFS(Data!$L:$L,Data!$A:$A,I$2,Data!$D:$D,$A7)/SUMIFS(Data!$M:$M,Data!$A:$A,I$2,Data!$D:$D,$A7),"")</f>
        <v/>
      </c>
      <c r="J7" s="4">
        <f>IFERROR(SUMIFS(Data!$L:$L,Data!$A:$A,J$2,Data!$D:$D,$A7)/SUMIFS(Data!$M:$M,Data!$A:$A,J$2,Data!$D:$D,$A7),"")</f>
        <v/>
      </c>
      <c r="K7" s="4">
        <f>IFERROR(SUMIFS(Data!$L:$L,Data!$A:$A,K$2,Data!$D:$D,$A7)/SUMIFS(Data!$M:$M,Data!$A:$A,K$2,Data!$D:$D,$A7),"")</f>
        <v/>
      </c>
      <c r="L7" s="4">
        <f>IFERROR(SUMIFS(Data!$L:$L,Data!$D:$D,$A7)/SUMIFS(Data!$M:$M,Data!$D:$D,$A7),"")</f>
        <v/>
      </c>
      <c r="M7" s="4">
        <f>IF(COUNT(B7:K7)=0,"",MAX(B7:K7))</f>
        <v/>
      </c>
      <c r="N7" s="4">
        <f>IF(COUNT(B7:K7)=0,"",MIN(B7:K7))</f>
        <v/>
      </c>
      <c r="O7">
        <f>COUNT(B7:K7)</f>
        <v/>
      </c>
      <c r="P7" s="4">
        <f>IF(COUNT(B7:K7)=0,"",INDEX(B7:K7,_xlfn.MAXIFS($B$2:$K$2,B7:K7,"&gt;=0")))</f>
        <v/>
      </c>
      <c r="Q7">
        <f>IF(COUNT(B7:K7)=0,"","W"&amp;INDEX($B$2:$K$2,MATCH(M7,B7:K7,0)))</f>
        <v/>
      </c>
    </row>
    <row r="8">
      <c r="A8" s="5" t="inlineStr">
        <is>
          <t>Keith McCarthy</t>
        </is>
      </c>
      <c r="B8" s="4">
        <f>IFERROR(SUMIFS(Data!$L:$L,Data!$A:$A,B$2,Data!$D:$D,$A8)/SUMIFS(Data!$M:$M,Data!$A:$A,B$2,Data!$D:$D,$A8),"")</f>
        <v/>
      </c>
      <c r="C8" s="4">
        <f>IFERROR(SUMIFS(Data!$L:$L,Data!$A:$A,C$2,Data!$D:$D,$A8)/SUMIFS(Data!$M:$M,Data!$A:$A,C$2,Data!$D:$D,$A8),"")</f>
        <v/>
      </c>
      <c r="D8" s="4">
        <f>IFERROR(SUMIFS(Data!$L:$L,Data!$A:$A,D$2,Data!$D:$D,$A8)/SUMIFS(Data!$M:$M,Data!$A:$A,D$2,Data!$D:$D,$A8),"")</f>
        <v/>
      </c>
      <c r="E8" s="4">
        <f>IFERROR(SUMIFS(Data!$L:$L,Data!$A:$A,E$2,Data!$D:$D,$A8)/SUMIFS(Data!$M:$M,Data!$A:$A,E$2,Data!$D:$D,$A8),"")</f>
        <v/>
      </c>
      <c r="F8" s="4">
        <f>IFERROR(SUMIFS(Data!$L:$L,Data!$A:$A,F$2,Data!$D:$D,$A8)/SUMIFS(Data!$M:$M,Data!$A:$A,F$2,Data!$D:$D,$A8),"")</f>
        <v/>
      </c>
      <c r="G8" s="4">
        <f>IFERROR(SUMIFS(Data!$L:$L,Data!$A:$A,G$2,Data!$D:$D,$A8)/SUMIFS(Data!$M:$M,Data!$A:$A,G$2,Data!$D:$D,$A8),"")</f>
        <v/>
      </c>
      <c r="H8" s="4">
        <f>IFERROR(SUMIFS(Data!$L:$L,Data!$A:$A,H$2,Data!$D:$D,$A8)/SUMIFS(Data!$M:$M,Data!$A:$A,H$2,Data!$D:$D,$A8),"")</f>
        <v/>
      </c>
      <c r="I8" s="4">
        <f>IFERROR(SUMIFS(Data!$L:$L,Data!$A:$A,I$2,Data!$D:$D,$A8)/SUMIFS(Data!$M:$M,Data!$A:$A,I$2,Data!$D:$D,$A8),"")</f>
        <v/>
      </c>
      <c r="J8" s="4">
        <f>IFERROR(SUMIFS(Data!$L:$L,Data!$A:$A,J$2,Data!$D:$D,$A8)/SUMIFS(Data!$M:$M,Data!$A:$A,J$2,Data!$D:$D,$A8),"")</f>
        <v/>
      </c>
      <c r="K8" s="4">
        <f>IFERROR(SUMIFS(Data!$L:$L,Data!$A:$A,K$2,Data!$D:$D,$A8)/SUMIFS(Data!$M:$M,Data!$A:$A,K$2,Data!$D:$D,$A8),"")</f>
        <v/>
      </c>
      <c r="L8" s="4">
        <f>IFERROR(SUMIFS(Data!$L:$L,Data!$D:$D,$A8)/SUMIFS(Data!$M:$M,Data!$D:$D,$A8),"")</f>
        <v/>
      </c>
      <c r="M8" s="4">
        <f>IF(COUNT(B8:K8)=0,"",MAX(B8:K8))</f>
        <v/>
      </c>
      <c r="N8" s="4">
        <f>IF(COUNT(B8:K8)=0,"",MIN(B8:K8))</f>
        <v/>
      </c>
      <c r="O8">
        <f>COUNT(B8:K8)</f>
        <v/>
      </c>
      <c r="P8" s="4">
        <f>IF(COUNT(B8:K8)=0,"",INDEX(B8:K8,_xlfn.MAXIFS($B$2:$K$2,B8:K8,"&gt;=0")))</f>
        <v/>
      </c>
      <c r="Q8">
        <f>IF(COUNT(B8:K8)=0,"","W"&amp;INDEX($B$2:$K$2,MATCH(M8,B8:K8,0)))</f>
        <v/>
      </c>
    </row>
    <row r="9">
      <c r="A9" s="5" t="inlineStr">
        <is>
          <t>Tom Davis</t>
        </is>
      </c>
      <c r="B9" s="4">
        <f>IFERROR(SUMIFS(Data!$L:$L,Data!$A:$A,B$2,Data!$D:$D,$A9)/SUMIFS(Data!$M:$M,Data!$A:$A,B$2,Data!$D:$D,$A9),"")</f>
        <v/>
      </c>
      <c r="C9" s="4">
        <f>IFERROR(SUMIFS(Data!$L:$L,Data!$A:$A,C$2,Data!$D:$D,$A9)/SUMIFS(Data!$M:$M,Data!$A:$A,C$2,Data!$D:$D,$A9),"")</f>
        <v/>
      </c>
      <c r="D9" s="4">
        <f>IFERROR(SUMIFS(Data!$L:$L,Data!$A:$A,D$2,Data!$D:$D,$A9)/SUMIFS(Data!$M:$M,Data!$A:$A,D$2,Data!$D:$D,$A9),"")</f>
        <v/>
      </c>
      <c r="E9" s="4">
        <f>IFERROR(SUMIFS(Data!$L:$L,Data!$A:$A,E$2,Data!$D:$D,$A9)/SUMIFS(Data!$M:$M,Data!$A:$A,E$2,Data!$D:$D,$A9),"")</f>
        <v/>
      </c>
      <c r="F9" s="4">
        <f>IFERROR(SUMIFS(Data!$L:$L,Data!$A:$A,F$2,Data!$D:$D,$A9)/SUMIFS(Data!$M:$M,Data!$A:$A,F$2,Data!$D:$D,$A9),"")</f>
        <v/>
      </c>
      <c r="G9" s="4">
        <f>IFERROR(SUMIFS(Data!$L:$L,Data!$A:$A,G$2,Data!$D:$D,$A9)/SUMIFS(Data!$M:$M,Data!$A:$A,G$2,Data!$D:$D,$A9),"")</f>
        <v/>
      </c>
      <c r="H9" s="4">
        <f>IFERROR(SUMIFS(Data!$L:$L,Data!$A:$A,H$2,Data!$D:$D,$A9)/SUMIFS(Data!$M:$M,Data!$A:$A,H$2,Data!$D:$D,$A9),"")</f>
        <v/>
      </c>
      <c r="I9" s="4">
        <f>IFERROR(SUMIFS(Data!$L:$L,Data!$A:$A,I$2,Data!$D:$D,$A9)/SUMIFS(Data!$M:$M,Data!$A:$A,I$2,Data!$D:$D,$A9),"")</f>
        <v/>
      </c>
      <c r="J9" s="4">
        <f>IFERROR(SUMIFS(Data!$L:$L,Data!$A:$A,J$2,Data!$D:$D,$A9)/SUMIFS(Data!$M:$M,Data!$A:$A,J$2,Data!$D:$D,$A9),"")</f>
        <v/>
      </c>
      <c r="K9" s="4">
        <f>IFERROR(SUMIFS(Data!$L:$L,Data!$A:$A,K$2,Data!$D:$D,$A9)/SUMIFS(Data!$M:$M,Data!$A:$A,K$2,Data!$D:$D,$A9),"")</f>
        <v/>
      </c>
      <c r="L9" s="4">
        <f>IFERROR(SUMIFS(Data!$L:$L,Data!$D:$D,$A9)/SUMIFS(Data!$M:$M,Data!$D:$D,$A9),"")</f>
        <v/>
      </c>
      <c r="M9" s="4">
        <f>IF(COUNT(B9:K9)=0,"",MAX(B9:K9))</f>
        <v/>
      </c>
      <c r="N9" s="4">
        <f>IF(COUNT(B9:K9)=0,"",MIN(B9:K9))</f>
        <v/>
      </c>
      <c r="O9">
        <f>COUNT(B9:K9)</f>
        <v/>
      </c>
      <c r="P9" s="4">
        <f>IF(COUNT(B9:K9)=0,"",INDEX(B9:K9,_xlfn.MAXIFS($B$2:$K$2,B9:K9,"&gt;=0")))</f>
        <v/>
      </c>
      <c r="Q9">
        <f>IF(COUNT(B9:K9)=0,"","W"&amp;INDEX($B$2:$K$2,MATCH(M9,B9:K9,0)))</f>
        <v/>
      </c>
    </row>
    <row r="10">
      <c r="A10" s="5" t="inlineStr">
        <is>
          <t>John Klemick</t>
        </is>
      </c>
      <c r="B10" s="4">
        <f>IFERROR(SUMIFS(Data!$L:$L,Data!$A:$A,B$2,Data!$D:$D,$A10)/SUMIFS(Data!$M:$M,Data!$A:$A,B$2,Data!$D:$D,$A10),"")</f>
        <v/>
      </c>
      <c r="C10" s="4">
        <f>IFERROR(SUMIFS(Data!$L:$L,Data!$A:$A,C$2,Data!$D:$D,$A10)/SUMIFS(Data!$M:$M,Data!$A:$A,C$2,Data!$D:$D,$A10),"")</f>
        <v/>
      </c>
      <c r="D10" s="4">
        <f>IFERROR(SUMIFS(Data!$L:$L,Data!$A:$A,D$2,Data!$D:$D,$A10)/SUMIFS(Data!$M:$M,Data!$A:$A,D$2,Data!$D:$D,$A10),"")</f>
        <v/>
      </c>
      <c r="E10" s="4">
        <f>IFERROR(SUMIFS(Data!$L:$L,Data!$A:$A,E$2,Data!$D:$D,$A10)/SUMIFS(Data!$M:$M,Data!$A:$A,E$2,Data!$D:$D,$A10),"")</f>
        <v/>
      </c>
      <c r="F10" s="4">
        <f>IFERROR(SUMIFS(Data!$L:$L,Data!$A:$A,F$2,Data!$D:$D,$A10)/SUMIFS(Data!$M:$M,Data!$A:$A,F$2,Data!$D:$D,$A10),"")</f>
        <v/>
      </c>
      <c r="G10" s="4">
        <f>IFERROR(SUMIFS(Data!$L:$L,Data!$A:$A,G$2,Data!$D:$D,$A10)/SUMIFS(Data!$M:$M,Data!$A:$A,G$2,Data!$D:$D,$A10),"")</f>
        <v/>
      </c>
      <c r="H10" s="4">
        <f>IFERROR(SUMIFS(Data!$L:$L,Data!$A:$A,H$2,Data!$D:$D,$A10)/SUMIFS(Data!$M:$M,Data!$A:$A,H$2,Data!$D:$D,$A10),"")</f>
        <v/>
      </c>
      <c r="I10" s="4">
        <f>IFERROR(SUMIFS(Data!$L:$L,Data!$A:$A,I$2,Data!$D:$D,$A10)/SUMIFS(Data!$M:$M,Data!$A:$A,I$2,Data!$D:$D,$A10),"")</f>
        <v/>
      </c>
      <c r="J10" s="4">
        <f>IFERROR(SUMIFS(Data!$L:$L,Data!$A:$A,J$2,Data!$D:$D,$A10)/SUMIFS(Data!$M:$M,Data!$A:$A,J$2,Data!$D:$D,$A10),"")</f>
        <v/>
      </c>
      <c r="K10" s="4">
        <f>IFERROR(SUMIFS(Data!$L:$L,Data!$A:$A,K$2,Data!$D:$D,$A10)/SUMIFS(Data!$M:$M,Data!$A:$A,K$2,Data!$D:$D,$A10),"")</f>
        <v/>
      </c>
      <c r="L10" s="4">
        <f>IFERROR(SUMIFS(Data!$L:$L,Data!$D:$D,$A10)/SUMIFS(Data!$M:$M,Data!$D:$D,$A10),"")</f>
        <v/>
      </c>
      <c r="M10" s="4">
        <f>IF(COUNT(B10:K10)=0,"",MAX(B10:K10))</f>
        <v/>
      </c>
      <c r="N10" s="4">
        <f>IF(COUNT(B10:K10)=0,"",MIN(B10:K10))</f>
        <v/>
      </c>
      <c r="O10">
        <f>COUNT(B10:K10)</f>
        <v/>
      </c>
      <c r="P10" s="4">
        <f>IF(COUNT(B10:K10)=0,"",INDEX(B10:K10,_xlfn.MAXIFS($B$2:$K$2,B10:K10,"&gt;=0")))</f>
        <v/>
      </c>
      <c r="Q10">
        <f>IF(COUNT(B10:K10)=0,"","W"&amp;INDEX($B$2:$K$2,MATCH(M10,B10:K10,0)))</f>
        <v/>
      </c>
    </row>
    <row r="11">
      <c r="A11" s="5" t="inlineStr">
        <is>
          <t>Frank Gillespie</t>
        </is>
      </c>
      <c r="B11" s="4">
        <f>IFERROR(SUMIFS(Data!$L:$L,Data!$A:$A,B$2,Data!$D:$D,$A11)/SUMIFS(Data!$M:$M,Data!$A:$A,B$2,Data!$D:$D,$A11),"")</f>
        <v/>
      </c>
      <c r="C11" s="4">
        <f>IFERROR(SUMIFS(Data!$L:$L,Data!$A:$A,C$2,Data!$D:$D,$A11)/SUMIFS(Data!$M:$M,Data!$A:$A,C$2,Data!$D:$D,$A11),"")</f>
        <v/>
      </c>
      <c r="D11" s="4">
        <f>IFERROR(SUMIFS(Data!$L:$L,Data!$A:$A,D$2,Data!$D:$D,$A11)/SUMIFS(Data!$M:$M,Data!$A:$A,D$2,Data!$D:$D,$A11),"")</f>
        <v/>
      </c>
      <c r="E11" s="4">
        <f>IFERROR(SUMIFS(Data!$L:$L,Data!$A:$A,E$2,Data!$D:$D,$A11)/SUMIFS(Data!$M:$M,Data!$A:$A,E$2,Data!$D:$D,$A11),"")</f>
        <v/>
      </c>
      <c r="F11" s="4">
        <f>IFERROR(SUMIFS(Data!$L:$L,Data!$A:$A,F$2,Data!$D:$D,$A11)/SUMIFS(Data!$M:$M,Data!$A:$A,F$2,Data!$D:$D,$A11),"")</f>
        <v/>
      </c>
      <c r="G11" s="4">
        <f>IFERROR(SUMIFS(Data!$L:$L,Data!$A:$A,G$2,Data!$D:$D,$A11)/SUMIFS(Data!$M:$M,Data!$A:$A,G$2,Data!$D:$D,$A11),"")</f>
        <v/>
      </c>
      <c r="H11" s="4">
        <f>IFERROR(SUMIFS(Data!$L:$L,Data!$A:$A,H$2,Data!$D:$D,$A11)/SUMIFS(Data!$M:$M,Data!$A:$A,H$2,Data!$D:$D,$A11),"")</f>
        <v/>
      </c>
      <c r="I11" s="4">
        <f>IFERROR(SUMIFS(Data!$L:$L,Data!$A:$A,I$2,Data!$D:$D,$A11)/SUMIFS(Data!$M:$M,Data!$A:$A,I$2,Data!$D:$D,$A11),"")</f>
        <v/>
      </c>
      <c r="J11" s="4">
        <f>IFERROR(SUMIFS(Data!$L:$L,Data!$A:$A,J$2,Data!$D:$D,$A11)/SUMIFS(Data!$M:$M,Data!$A:$A,J$2,Data!$D:$D,$A11),"")</f>
        <v/>
      </c>
      <c r="K11" s="4">
        <f>IFERROR(SUMIFS(Data!$L:$L,Data!$A:$A,K$2,Data!$D:$D,$A11)/SUMIFS(Data!$M:$M,Data!$A:$A,K$2,Data!$D:$D,$A11),"")</f>
        <v/>
      </c>
      <c r="L11" s="4">
        <f>IFERROR(SUMIFS(Data!$L:$L,Data!$D:$D,$A11)/SUMIFS(Data!$M:$M,Data!$D:$D,$A11),"")</f>
        <v/>
      </c>
      <c r="M11" s="4">
        <f>IF(COUNT(B11:K11)=0,"",MAX(B11:K11))</f>
        <v/>
      </c>
      <c r="N11" s="4">
        <f>IF(COUNT(B11:K11)=0,"",MIN(B11:K11))</f>
        <v/>
      </c>
      <c r="O11">
        <f>COUNT(B11:K11)</f>
        <v/>
      </c>
      <c r="P11" s="4">
        <f>IF(COUNT(B11:K11)=0,"",INDEX(B11:K11,_xlfn.MAXIFS($B$2:$K$2,B11:K11,"&gt;=0")))</f>
        <v/>
      </c>
      <c r="Q11">
        <f>IF(COUNT(B11:K11)=0,"","W"&amp;INDEX($B$2:$K$2,MATCH(M11,B11:K11,0)))</f>
        <v/>
      </c>
    </row>
    <row r="12">
      <c r="A12" s="5" t="inlineStr">
        <is>
          <t>Jim Wright</t>
        </is>
      </c>
      <c r="B12" s="4">
        <f>IFERROR(SUMIFS(Data!$L:$L,Data!$A:$A,B$2,Data!$D:$D,$A12)/SUMIFS(Data!$M:$M,Data!$A:$A,B$2,Data!$D:$D,$A12),"")</f>
        <v/>
      </c>
      <c r="C12" s="4">
        <f>IFERROR(SUMIFS(Data!$L:$L,Data!$A:$A,C$2,Data!$D:$D,$A12)/SUMIFS(Data!$M:$M,Data!$A:$A,C$2,Data!$D:$D,$A12),"")</f>
        <v/>
      </c>
      <c r="D12" s="4">
        <f>IFERROR(SUMIFS(Data!$L:$L,Data!$A:$A,D$2,Data!$D:$D,$A12)/SUMIFS(Data!$M:$M,Data!$A:$A,D$2,Data!$D:$D,$A12),"")</f>
        <v/>
      </c>
      <c r="E12" s="4">
        <f>IFERROR(SUMIFS(Data!$L:$L,Data!$A:$A,E$2,Data!$D:$D,$A12)/SUMIFS(Data!$M:$M,Data!$A:$A,E$2,Data!$D:$D,$A12),"")</f>
        <v/>
      </c>
      <c r="F12" s="4">
        <f>IFERROR(SUMIFS(Data!$L:$L,Data!$A:$A,F$2,Data!$D:$D,$A12)/SUMIFS(Data!$M:$M,Data!$A:$A,F$2,Data!$D:$D,$A12),"")</f>
        <v/>
      </c>
      <c r="G12" s="4">
        <f>IFERROR(SUMIFS(Data!$L:$L,Data!$A:$A,G$2,Data!$D:$D,$A12)/SUMIFS(Data!$M:$M,Data!$A:$A,G$2,Data!$D:$D,$A12),"")</f>
        <v/>
      </c>
      <c r="H12" s="4">
        <f>IFERROR(SUMIFS(Data!$L:$L,Data!$A:$A,H$2,Data!$D:$D,$A12)/SUMIFS(Data!$M:$M,Data!$A:$A,H$2,Data!$D:$D,$A12),"")</f>
        <v/>
      </c>
      <c r="I12" s="4">
        <f>IFERROR(SUMIFS(Data!$L:$L,Data!$A:$A,I$2,Data!$D:$D,$A12)/SUMIFS(Data!$M:$M,Data!$A:$A,I$2,Data!$D:$D,$A12),"")</f>
        <v/>
      </c>
      <c r="J12" s="4">
        <f>IFERROR(SUMIFS(Data!$L:$L,Data!$A:$A,J$2,Data!$D:$D,$A12)/SUMIFS(Data!$M:$M,Data!$A:$A,J$2,Data!$D:$D,$A12),"")</f>
        <v/>
      </c>
      <c r="K12" s="4">
        <f>IFERROR(SUMIFS(Data!$L:$L,Data!$A:$A,K$2,Data!$D:$D,$A12)/SUMIFS(Data!$M:$M,Data!$A:$A,K$2,Data!$D:$D,$A12),"")</f>
        <v/>
      </c>
      <c r="L12" s="4">
        <f>IFERROR(SUMIFS(Data!$L:$L,Data!$D:$D,$A12)/SUMIFS(Data!$M:$M,Data!$D:$D,$A12),"")</f>
        <v/>
      </c>
      <c r="M12" s="4">
        <f>IF(COUNT(B12:K12)=0,"",MAX(B12:K12))</f>
        <v/>
      </c>
      <c r="N12" s="4">
        <f>IF(COUNT(B12:K12)=0,"",MIN(B12:K12))</f>
        <v/>
      </c>
      <c r="O12">
        <f>COUNT(B12:K12)</f>
        <v/>
      </c>
      <c r="P12" s="4">
        <f>IF(COUNT(B12:K12)=0,"",INDEX(B12:K12,_xlfn.MAXIFS($B$2:$K$2,B12:K12,"&gt;=0")))</f>
        <v/>
      </c>
      <c r="Q12">
        <f>IF(COUNT(B12:K12)=0,"","W"&amp;INDEX($B$2:$K$2,MATCH(M12,B12:K12,0)))</f>
        <v/>
      </c>
    </row>
    <row r="13">
      <c r="A13" s="5" t="inlineStr">
        <is>
          <t>Dave Keppler</t>
        </is>
      </c>
      <c r="B13" s="4">
        <f>IFERROR(SUMIFS(Data!$L:$L,Data!$A:$A,B$2,Data!$D:$D,$A13)/SUMIFS(Data!$M:$M,Data!$A:$A,B$2,Data!$D:$D,$A13),"")</f>
        <v/>
      </c>
      <c r="C13" s="4">
        <f>IFERROR(SUMIFS(Data!$L:$L,Data!$A:$A,C$2,Data!$D:$D,$A13)/SUMIFS(Data!$M:$M,Data!$A:$A,C$2,Data!$D:$D,$A13),"")</f>
        <v/>
      </c>
      <c r="D13" s="4">
        <f>IFERROR(SUMIFS(Data!$L:$L,Data!$A:$A,D$2,Data!$D:$D,$A13)/SUMIFS(Data!$M:$M,Data!$A:$A,D$2,Data!$D:$D,$A13),"")</f>
        <v/>
      </c>
      <c r="E13" s="4">
        <f>IFERROR(SUMIFS(Data!$L:$L,Data!$A:$A,E$2,Data!$D:$D,$A13)/SUMIFS(Data!$M:$M,Data!$A:$A,E$2,Data!$D:$D,$A13),"")</f>
        <v/>
      </c>
      <c r="F13" s="4">
        <f>IFERROR(SUMIFS(Data!$L:$L,Data!$A:$A,F$2,Data!$D:$D,$A13)/SUMIFS(Data!$M:$M,Data!$A:$A,F$2,Data!$D:$D,$A13),"")</f>
        <v/>
      </c>
      <c r="G13" s="4">
        <f>IFERROR(SUMIFS(Data!$L:$L,Data!$A:$A,G$2,Data!$D:$D,$A13)/SUMIFS(Data!$M:$M,Data!$A:$A,G$2,Data!$D:$D,$A13),"")</f>
        <v/>
      </c>
      <c r="H13" s="4">
        <f>IFERROR(SUMIFS(Data!$L:$L,Data!$A:$A,H$2,Data!$D:$D,$A13)/SUMIFS(Data!$M:$M,Data!$A:$A,H$2,Data!$D:$D,$A13),"")</f>
        <v/>
      </c>
      <c r="I13" s="4">
        <f>IFERROR(SUMIFS(Data!$L:$L,Data!$A:$A,I$2,Data!$D:$D,$A13)/SUMIFS(Data!$M:$M,Data!$A:$A,I$2,Data!$D:$D,$A13),"")</f>
        <v/>
      </c>
      <c r="J13" s="4">
        <f>IFERROR(SUMIFS(Data!$L:$L,Data!$A:$A,J$2,Data!$D:$D,$A13)/SUMIFS(Data!$M:$M,Data!$A:$A,J$2,Data!$D:$D,$A13),"")</f>
        <v/>
      </c>
      <c r="K13" s="4">
        <f>IFERROR(SUMIFS(Data!$L:$L,Data!$A:$A,K$2,Data!$D:$D,$A13)/SUMIFS(Data!$M:$M,Data!$A:$A,K$2,Data!$D:$D,$A13),"")</f>
        <v/>
      </c>
      <c r="L13" s="4">
        <f>IFERROR(SUMIFS(Data!$L:$L,Data!$D:$D,$A13)/SUMIFS(Data!$M:$M,Data!$D:$D,$A13),"")</f>
        <v/>
      </c>
      <c r="M13" s="4">
        <f>IF(COUNT(B13:K13)=0,"",MAX(B13:K13))</f>
        <v/>
      </c>
      <c r="N13" s="4">
        <f>IF(COUNT(B13:K13)=0,"",MIN(B13:K13))</f>
        <v/>
      </c>
      <c r="O13">
        <f>COUNT(B13:K13)</f>
        <v/>
      </c>
      <c r="P13" s="4">
        <f>IF(COUNT(B13:K13)=0,"",INDEX(B13:K13,_xlfn.MAXIFS($B$2:$K$2,B13:K13,"&gt;=0")))</f>
        <v/>
      </c>
      <c r="Q13">
        <f>IF(COUNT(B13:K13)=0,"","W"&amp;INDEX($B$2:$K$2,MATCH(M13,B13:K13,0)))</f>
        <v/>
      </c>
    </row>
    <row r="14">
      <c r="A14" s="6" t="inlineStr">
        <is>
          <t>TEAM</t>
        </is>
      </c>
      <c r="B14" s="13">
        <f>IFERROR(SUMIFS(Data!$L:$L,Data!$A:$A,B$2)/SUMIFS(Data!$M:$M,Data!$A:$A,B$2),"")</f>
        <v/>
      </c>
      <c r="C14" s="13">
        <f>IFERROR(SUMIFS(Data!$L:$L,Data!$A:$A,C$2)/SUMIFS(Data!$M:$M,Data!$A:$A,C$2),"")</f>
        <v/>
      </c>
      <c r="D14" s="13">
        <f>IFERROR(SUMIFS(Data!$L:$L,Data!$A:$A,D$2)/SUMIFS(Data!$M:$M,Data!$A:$A,D$2),"")</f>
        <v/>
      </c>
      <c r="E14" s="13">
        <f>IFERROR(SUMIFS(Data!$L:$L,Data!$A:$A,E$2)/SUMIFS(Data!$M:$M,Data!$A:$A,E$2),"")</f>
        <v/>
      </c>
      <c r="F14" s="13">
        <f>IFERROR(SUMIFS(Data!$L:$L,Data!$A:$A,F$2)/SUMIFS(Data!$M:$M,Data!$A:$A,F$2),"")</f>
        <v/>
      </c>
      <c r="G14" s="13">
        <f>IFERROR(SUMIFS(Data!$L:$L,Data!$A:$A,G$2)/SUMIFS(Data!$M:$M,Data!$A:$A,G$2),"")</f>
        <v/>
      </c>
      <c r="H14" s="13">
        <f>IFERROR(SUMIFS(Data!$L:$L,Data!$A:$A,H$2)/SUMIFS(Data!$M:$M,Data!$A:$A,H$2),"")</f>
        <v/>
      </c>
      <c r="I14" s="13">
        <f>IFERROR(SUMIFS(Data!$L:$L,Data!$A:$A,I$2)/SUMIFS(Data!$M:$M,Data!$A:$A,I$2),"")</f>
        <v/>
      </c>
      <c r="J14" s="13">
        <f>IFERROR(SUMIFS(Data!$L:$L,Data!$A:$A,J$2)/SUMIFS(Data!$M:$M,Data!$A:$A,J$2),"")</f>
        <v/>
      </c>
      <c r="K14" s="13">
        <f>IFERROR(SUMIFS(Data!$L:$L,Data!$A:$A,K$2)/SUMIFS(Data!$M:$M,Data!$A:$A,K$2),"")</f>
        <v/>
      </c>
      <c r="L14" s="13">
        <f>IFERROR(SUM(Data!$L:$L)/SUM(Data!$M:$M),"")</f>
        <v/>
      </c>
      <c r="M14" s="13">
        <f>IF(COUNT(B14:K14)=0,"",MAX(B14:K14))</f>
        <v/>
      </c>
      <c r="N14" s="13">
        <f>IF(COUNT(B14:K14)=0,"",MIN(B14:K14))</f>
        <v/>
      </c>
      <c r="O14" s="6">
        <f>COUNT(B14:K14)</f>
        <v/>
      </c>
      <c r="P14" s="13">
        <f>IF(COUNT(B14:K14)=0,"",INDEX(B14:K14,_xlfn.MAXIFS($B$2:$K$2,B14:K14,"&gt;=0")))</f>
        <v/>
      </c>
      <c r="Q14" s="6">
        <f>IF(COUNT(B14:K14)=0,"","W"&amp;INDEX($B$2:$K$2,MATCH(M14,B14:K14,0)))</f>
        <v/>
      </c>
    </row>
  </sheetData>
  <conditionalFormatting sqref="B3:K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2026-09-25T17:33:48Z</dcterms:created>
  <dcterms:modified xsi:type="dcterms:W3CDTF">2026-09-25T17:33:48Z</dcterms:modified>
</cp:coreProperties>
</file>